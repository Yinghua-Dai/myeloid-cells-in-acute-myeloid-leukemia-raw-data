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0-编辑-MG\000-编辑组项目\稿件\P项目\P970_洪悦欢\P970_原始实验数据\Figure 5\"/>
    </mc:Choice>
  </mc:AlternateContent>
  <xr:revisionPtr revIDLastSave="0" documentId="13_ncr:1_{261F8076-C93F-45F2-B6B5-30E4E0086B2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PCR analysis A" sheetId="1" r:id="rId1"/>
    <sheet name="PCR raw data" sheetId="2" r:id="rId2"/>
    <sheet name="PCR analysis B" sheetId="14" r:id="rId3"/>
    <sheet name="PCR raw data B" sheetId="15" r:id="rId4"/>
    <sheet name="PCR analysis C" sheetId="16" r:id="rId5"/>
    <sheet name="PCR raw data C" sheetId="18" r:id="rId6"/>
    <sheet name="CCK8 result HL60" sheetId="8" r:id="rId7"/>
    <sheet name="CCK8 result NB4" sheetId="10" r:id="rId8"/>
    <sheet name="HL60 invasion data" sheetId="3" r:id="rId9"/>
    <sheet name="NB4 invasion data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2" i="1" l="1"/>
  <c r="F82" i="1" s="1"/>
  <c r="D81" i="1"/>
  <c r="F81" i="1" s="1"/>
  <c r="D80" i="1"/>
  <c r="F80" i="1" s="1"/>
  <c r="D79" i="1"/>
  <c r="F79" i="1" s="1"/>
  <c r="D78" i="1"/>
  <c r="F78" i="1" s="1"/>
  <c r="D77" i="1"/>
  <c r="F77" i="1" s="1"/>
  <c r="D76" i="1"/>
  <c r="F76" i="1" s="1"/>
  <c r="D75" i="1"/>
  <c r="F75" i="1" s="1"/>
  <c r="D74" i="1"/>
  <c r="F74" i="1" s="1"/>
  <c r="D73" i="1"/>
  <c r="F73" i="1" s="1"/>
  <c r="D72" i="1"/>
  <c r="F72" i="1" s="1"/>
  <c r="D71" i="1"/>
  <c r="F71" i="1" s="1"/>
  <c r="D70" i="1"/>
  <c r="F70" i="1" s="1"/>
  <c r="D69" i="1"/>
  <c r="F69" i="1" s="1"/>
  <c r="D68" i="1"/>
  <c r="F68" i="1" s="1"/>
  <c r="D67" i="1"/>
  <c r="F67" i="1" s="1"/>
  <c r="D66" i="1"/>
  <c r="F66" i="1" s="1"/>
  <c r="D65" i="1"/>
  <c r="F65" i="1" s="1"/>
  <c r="D64" i="1"/>
  <c r="F64" i="1" s="1"/>
  <c r="D63" i="1"/>
  <c r="F63" i="1" s="1"/>
  <c r="D62" i="1"/>
  <c r="F62" i="1" s="1"/>
  <c r="D61" i="1"/>
  <c r="F61" i="1" s="1"/>
  <c r="D60" i="1"/>
  <c r="F60" i="1" s="1"/>
  <c r="D59" i="1"/>
  <c r="F59" i="1" s="1"/>
  <c r="D58" i="1"/>
  <c r="F58" i="1" s="1"/>
  <c r="D57" i="1"/>
  <c r="F57" i="1" s="1"/>
  <c r="D56" i="1"/>
  <c r="F56" i="1" s="1"/>
  <c r="D55" i="1"/>
  <c r="F55" i="1" s="1"/>
  <c r="D54" i="1"/>
  <c r="F54" i="1" s="1"/>
  <c r="D53" i="1"/>
  <c r="F53" i="1" s="1"/>
  <c r="D52" i="1"/>
  <c r="F52" i="1" s="1"/>
  <c r="D51" i="1"/>
  <c r="F51" i="1" s="1"/>
  <c r="D50" i="1"/>
  <c r="F50" i="1" s="1"/>
  <c r="D49" i="1"/>
  <c r="F49" i="1" s="1"/>
  <c r="D48" i="1"/>
  <c r="F48" i="1" s="1"/>
  <c r="D47" i="1"/>
  <c r="F47" i="1" s="1"/>
  <c r="D46" i="1"/>
  <c r="F46" i="1" s="1"/>
  <c r="D45" i="1"/>
  <c r="F45" i="1" s="1"/>
  <c r="D44" i="1"/>
  <c r="F44" i="1" s="1"/>
  <c r="D43" i="1"/>
  <c r="F43" i="1" s="1"/>
  <c r="D42" i="1"/>
  <c r="F42" i="1" s="1"/>
  <c r="D41" i="1"/>
  <c r="F41" i="1" s="1"/>
  <c r="D40" i="1"/>
  <c r="F40" i="1" s="1"/>
  <c r="D39" i="1"/>
  <c r="F39" i="1" s="1"/>
  <c r="D38" i="1"/>
  <c r="F38" i="1" s="1"/>
  <c r="D37" i="1"/>
  <c r="F37" i="1" s="1"/>
  <c r="D36" i="1"/>
  <c r="F36" i="1" s="1"/>
  <c r="D35" i="1"/>
  <c r="F35" i="1" s="1"/>
  <c r="D34" i="1"/>
  <c r="F34" i="1" s="1"/>
  <c r="D33" i="1"/>
  <c r="F33" i="1" s="1"/>
  <c r="D32" i="1"/>
  <c r="F32" i="1" s="1"/>
  <c r="D31" i="1"/>
  <c r="F31" i="1" s="1"/>
  <c r="D30" i="1"/>
  <c r="F30" i="1" s="1"/>
  <c r="D29" i="1"/>
  <c r="F29" i="1" s="1"/>
  <c r="D10" i="16"/>
  <c r="F10" i="16" s="1"/>
  <c r="D9" i="16"/>
  <c r="F9" i="16" s="1"/>
  <c r="D8" i="16"/>
  <c r="F8" i="16" s="1"/>
  <c r="D7" i="16"/>
  <c r="F7" i="16" s="1"/>
  <c r="D6" i="16"/>
  <c r="F6" i="16" s="1"/>
  <c r="D5" i="16"/>
  <c r="F5" i="16" s="1"/>
  <c r="D4" i="16"/>
  <c r="F4" i="16" s="1"/>
  <c r="D3" i="16"/>
  <c r="F3" i="16" s="1"/>
  <c r="D2" i="16"/>
  <c r="F2" i="16" s="1"/>
  <c r="G74" i="1" l="1"/>
  <c r="G75" i="1" s="1"/>
  <c r="G76" i="1" s="1"/>
  <c r="G77" i="1" s="1"/>
  <c r="G78" i="1" s="1"/>
  <c r="G79" i="1" s="1"/>
  <c r="G80" i="1" s="1"/>
  <c r="G81" i="1" s="1"/>
  <c r="G82" i="1" s="1"/>
  <c r="H82" i="1" s="1"/>
  <c r="I82" i="1" s="1"/>
  <c r="G65" i="1"/>
  <c r="G66" i="1" s="1"/>
  <c r="G67" i="1" s="1"/>
  <c r="G68" i="1" s="1"/>
  <c r="G69" i="1" s="1"/>
  <c r="G70" i="1" s="1"/>
  <c r="G71" i="1" s="1"/>
  <c r="G72" i="1" s="1"/>
  <c r="G73" i="1" s="1"/>
  <c r="H73" i="1" s="1"/>
  <c r="I73" i="1" s="1"/>
  <c r="G56" i="1"/>
  <c r="G57" i="1" s="1"/>
  <c r="G58" i="1" s="1"/>
  <c r="G59" i="1" s="1"/>
  <c r="G60" i="1" s="1"/>
  <c r="G61" i="1" s="1"/>
  <c r="G62" i="1" s="1"/>
  <c r="G63" i="1" s="1"/>
  <c r="G64" i="1" s="1"/>
  <c r="H64" i="1" s="1"/>
  <c r="I64" i="1" s="1"/>
  <c r="G47" i="1"/>
  <c r="G48" i="1" s="1"/>
  <c r="G49" i="1" s="1"/>
  <c r="G50" i="1" s="1"/>
  <c r="G51" i="1" s="1"/>
  <c r="G52" i="1" s="1"/>
  <c r="G53" i="1" s="1"/>
  <c r="G54" i="1" s="1"/>
  <c r="G55" i="1" s="1"/>
  <c r="H55" i="1" s="1"/>
  <c r="I55" i="1" s="1"/>
  <c r="G38" i="1"/>
  <c r="G39" i="1" s="1"/>
  <c r="G40" i="1" s="1"/>
  <c r="G41" i="1" s="1"/>
  <c r="G42" i="1" s="1"/>
  <c r="G43" i="1" s="1"/>
  <c r="G44" i="1" s="1"/>
  <c r="G45" i="1" s="1"/>
  <c r="G46" i="1" s="1"/>
  <c r="H46" i="1" s="1"/>
  <c r="I46" i="1" s="1"/>
  <c r="G29" i="1"/>
  <c r="G30" i="1" s="1"/>
  <c r="G31" i="1" s="1"/>
  <c r="G32" i="1" s="1"/>
  <c r="G33" i="1" s="1"/>
  <c r="G34" i="1" s="1"/>
  <c r="G35" i="1" s="1"/>
  <c r="G36" i="1" s="1"/>
  <c r="G37" i="1" s="1"/>
  <c r="H37" i="1" s="1"/>
  <c r="I37" i="1" s="1"/>
  <c r="G2" i="16"/>
  <c r="G3" i="16" s="1"/>
  <c r="G4" i="16" s="1"/>
  <c r="G5" i="16" s="1"/>
  <c r="G6" i="16" s="1"/>
  <c r="G7" i="16" s="1"/>
  <c r="G8" i="16" s="1"/>
  <c r="G9" i="16" s="1"/>
  <c r="G10" i="16" s="1"/>
  <c r="H10" i="16" s="1"/>
  <c r="I10" i="16" s="1"/>
  <c r="D10" i="14"/>
  <c r="F10" i="14" s="1"/>
  <c r="D9" i="14"/>
  <c r="F9" i="14" s="1"/>
  <c r="D8" i="14"/>
  <c r="F8" i="14" s="1"/>
  <c r="D7" i="14"/>
  <c r="F7" i="14" s="1"/>
  <c r="D6" i="14"/>
  <c r="F6" i="14" s="1"/>
  <c r="D5" i="14"/>
  <c r="F5" i="14" s="1"/>
  <c r="D4" i="14"/>
  <c r="F4" i="14" s="1"/>
  <c r="D3" i="14"/>
  <c r="F3" i="14" s="1"/>
  <c r="D2" i="14"/>
  <c r="F2" i="14" s="1"/>
  <c r="B33" i="10"/>
  <c r="D36" i="10" s="1"/>
  <c r="H42" i="10" s="1"/>
  <c r="B23" i="10"/>
  <c r="C24" i="10" s="1"/>
  <c r="C41" i="10" s="1"/>
  <c r="B14" i="10"/>
  <c r="D17" i="10" s="1"/>
  <c r="H40" i="10" s="1"/>
  <c r="B5" i="10"/>
  <c r="D7" i="10" s="1"/>
  <c r="G39" i="10" s="1"/>
  <c r="H81" i="1" l="1"/>
  <c r="I81" i="1" s="1"/>
  <c r="H75" i="1"/>
  <c r="I75" i="1" s="1"/>
  <c r="H77" i="1"/>
  <c r="I77" i="1" s="1"/>
  <c r="H80" i="1"/>
  <c r="I80" i="1" s="1"/>
  <c r="H76" i="1"/>
  <c r="I76" i="1" s="1"/>
  <c r="H78" i="1"/>
  <c r="I78" i="1" s="1"/>
  <c r="H74" i="1"/>
  <c r="I74" i="1" s="1"/>
  <c r="H79" i="1"/>
  <c r="I79" i="1" s="1"/>
  <c r="H71" i="1"/>
  <c r="I71" i="1" s="1"/>
  <c r="H69" i="1"/>
  <c r="I69" i="1" s="1"/>
  <c r="H65" i="1"/>
  <c r="I65" i="1" s="1"/>
  <c r="H70" i="1"/>
  <c r="I70" i="1" s="1"/>
  <c r="H68" i="1"/>
  <c r="I68" i="1" s="1"/>
  <c r="H66" i="1"/>
  <c r="I66" i="1" s="1"/>
  <c r="H72" i="1"/>
  <c r="I72" i="1" s="1"/>
  <c r="H67" i="1"/>
  <c r="I67" i="1" s="1"/>
  <c r="H62" i="1"/>
  <c r="I62" i="1" s="1"/>
  <c r="H57" i="1"/>
  <c r="I57" i="1" s="1"/>
  <c r="H58" i="1"/>
  <c r="I58" i="1" s="1"/>
  <c r="H63" i="1"/>
  <c r="I63" i="1" s="1"/>
  <c r="H59" i="1"/>
  <c r="I59" i="1" s="1"/>
  <c r="H61" i="1"/>
  <c r="I61" i="1" s="1"/>
  <c r="H60" i="1"/>
  <c r="I60" i="1" s="1"/>
  <c r="H56" i="1"/>
  <c r="I56" i="1" s="1"/>
  <c r="H40" i="1"/>
  <c r="I40" i="1" s="1"/>
  <c r="H44" i="1"/>
  <c r="I44" i="1" s="1"/>
  <c r="H52" i="1"/>
  <c r="I52" i="1" s="1"/>
  <c r="H50" i="1"/>
  <c r="I50" i="1" s="1"/>
  <c r="H47" i="1"/>
  <c r="I47" i="1" s="1"/>
  <c r="H53" i="1"/>
  <c r="I53" i="1" s="1"/>
  <c r="H51" i="1"/>
  <c r="I51" i="1" s="1"/>
  <c r="H49" i="1"/>
  <c r="I49" i="1" s="1"/>
  <c r="H54" i="1"/>
  <c r="I54" i="1" s="1"/>
  <c r="H48" i="1"/>
  <c r="I48" i="1" s="1"/>
  <c r="H45" i="1"/>
  <c r="I45" i="1" s="1"/>
  <c r="H43" i="1"/>
  <c r="I43" i="1" s="1"/>
  <c r="H39" i="1"/>
  <c r="I39" i="1" s="1"/>
  <c r="H42" i="1"/>
  <c r="I42" i="1" s="1"/>
  <c r="H41" i="1"/>
  <c r="I41" i="1" s="1"/>
  <c r="H38" i="1"/>
  <c r="I38" i="1" s="1"/>
  <c r="H34" i="1"/>
  <c r="I34" i="1" s="1"/>
  <c r="H33" i="1"/>
  <c r="I33" i="1" s="1"/>
  <c r="H36" i="1"/>
  <c r="I36" i="1" s="1"/>
  <c r="H31" i="1"/>
  <c r="I31" i="1" s="1"/>
  <c r="H30" i="1"/>
  <c r="I30" i="1" s="1"/>
  <c r="H32" i="1"/>
  <c r="I32" i="1" s="1"/>
  <c r="H35" i="1"/>
  <c r="I35" i="1" s="1"/>
  <c r="H29" i="1"/>
  <c r="I29" i="1" s="1"/>
  <c r="H7" i="16"/>
  <c r="I7" i="16" s="1"/>
  <c r="H6" i="16"/>
  <c r="I6" i="16" s="1"/>
  <c r="H4" i="16"/>
  <c r="I4" i="16" s="1"/>
  <c r="H2" i="16"/>
  <c r="I2" i="16" s="1"/>
  <c r="H8" i="16"/>
  <c r="I8" i="16" s="1"/>
  <c r="H5" i="16"/>
  <c r="I5" i="16" s="1"/>
  <c r="H9" i="16"/>
  <c r="I9" i="16" s="1"/>
  <c r="H3" i="16"/>
  <c r="I3" i="16" s="1"/>
  <c r="G2" i="14"/>
  <c r="G3" i="14" s="1"/>
  <c r="G4" i="14" s="1"/>
  <c r="G5" i="14" s="1"/>
  <c r="G6" i="14" s="1"/>
  <c r="G7" i="14" s="1"/>
  <c r="G8" i="14" s="1"/>
  <c r="G9" i="14" s="1"/>
  <c r="G10" i="14" s="1"/>
  <c r="H10" i="14" s="1"/>
  <c r="I10" i="14" s="1"/>
  <c r="C8" i="10"/>
  <c r="E39" i="10" s="1"/>
  <c r="D8" i="10"/>
  <c r="H39" i="10" s="1"/>
  <c r="D24" i="10"/>
  <c r="F41" i="10" s="1"/>
  <c r="C25" i="10"/>
  <c r="D41" i="10" s="1"/>
  <c r="D25" i="10"/>
  <c r="G41" i="10" s="1"/>
  <c r="C26" i="10"/>
  <c r="E41" i="10" s="1"/>
  <c r="D6" i="10"/>
  <c r="F39" i="10" s="1"/>
  <c r="C6" i="10"/>
  <c r="C39" i="10" s="1"/>
  <c r="C7" i="10"/>
  <c r="D39" i="10" s="1"/>
  <c r="C15" i="10"/>
  <c r="C40" i="10" s="1"/>
  <c r="D26" i="10"/>
  <c r="H41" i="10" s="1"/>
  <c r="D15" i="10"/>
  <c r="F40" i="10" s="1"/>
  <c r="C16" i="10"/>
  <c r="D40" i="10" s="1"/>
  <c r="C34" i="10"/>
  <c r="C42" i="10" s="1"/>
  <c r="D16" i="10"/>
  <c r="G40" i="10" s="1"/>
  <c r="D34" i="10"/>
  <c r="F42" i="10" s="1"/>
  <c r="C17" i="10"/>
  <c r="E40" i="10" s="1"/>
  <c r="C35" i="10"/>
  <c r="D42" i="10" s="1"/>
  <c r="D35" i="10"/>
  <c r="G42" i="10" s="1"/>
  <c r="C36" i="10"/>
  <c r="E42" i="10" s="1"/>
  <c r="H2" i="14" l="1"/>
  <c r="I2" i="14" s="1"/>
  <c r="H4" i="14"/>
  <c r="I4" i="14" s="1"/>
  <c r="H7" i="14"/>
  <c r="I7" i="14" s="1"/>
  <c r="H6" i="14"/>
  <c r="I6" i="14" s="1"/>
  <c r="H5" i="14"/>
  <c r="I5" i="14" s="1"/>
  <c r="H8" i="14"/>
  <c r="I8" i="14" s="1"/>
  <c r="H3" i="14"/>
  <c r="I3" i="14" s="1"/>
  <c r="H9" i="14"/>
  <c r="I9" i="14" s="1"/>
  <c r="D28" i="1"/>
  <c r="F28" i="1" s="1"/>
  <c r="D27" i="1"/>
  <c r="F27" i="1" s="1"/>
  <c r="D26" i="1"/>
  <c r="F26" i="1" s="1"/>
  <c r="D25" i="1"/>
  <c r="F25" i="1" s="1"/>
  <c r="D24" i="1"/>
  <c r="F24" i="1" s="1"/>
  <c r="D23" i="1"/>
  <c r="F23" i="1" s="1"/>
  <c r="D22" i="1"/>
  <c r="F22" i="1" s="1"/>
  <c r="D21" i="1"/>
  <c r="F21" i="1" s="1"/>
  <c r="D20" i="1"/>
  <c r="F20" i="1" s="1"/>
  <c r="D19" i="1"/>
  <c r="F19" i="1" s="1"/>
  <c r="D18" i="1"/>
  <c r="F18" i="1" s="1"/>
  <c r="D17" i="1"/>
  <c r="F17" i="1" s="1"/>
  <c r="D16" i="1"/>
  <c r="F16" i="1" s="1"/>
  <c r="D15" i="1"/>
  <c r="F15" i="1" s="1"/>
  <c r="D14" i="1"/>
  <c r="F14" i="1" s="1"/>
  <c r="D13" i="1"/>
  <c r="F13" i="1" s="1"/>
  <c r="D12" i="1"/>
  <c r="F12" i="1" s="1"/>
  <c r="D11" i="1"/>
  <c r="F11" i="1" s="1"/>
  <c r="B33" i="8"/>
  <c r="D36" i="8" s="1"/>
  <c r="G42" i="8" s="1"/>
  <c r="B23" i="8"/>
  <c r="D24" i="8" s="1"/>
  <c r="B14" i="8"/>
  <c r="C16" i="8" s="1"/>
  <c r="D40" i="8" s="1"/>
  <c r="B5" i="8"/>
  <c r="D7" i="8" s="1"/>
  <c r="F39" i="8" s="1"/>
  <c r="G20" i="1" l="1"/>
  <c r="G21" i="1" s="1"/>
  <c r="G22" i="1" s="1"/>
  <c r="G23" i="1" s="1"/>
  <c r="G24" i="1" s="1"/>
  <c r="G25" i="1" s="1"/>
  <c r="G26" i="1" s="1"/>
  <c r="G27" i="1" s="1"/>
  <c r="G28" i="1" s="1"/>
  <c r="H28" i="1" s="1"/>
  <c r="I28" i="1" s="1"/>
  <c r="G11" i="1"/>
  <c r="G12" i="1" s="1"/>
  <c r="G13" i="1" s="1"/>
  <c r="G14" i="1" s="1"/>
  <c r="G15" i="1" s="1"/>
  <c r="G16" i="1" s="1"/>
  <c r="G17" i="1" s="1"/>
  <c r="G18" i="1" s="1"/>
  <c r="G19" i="1" s="1"/>
  <c r="H19" i="1" s="1"/>
  <c r="I19" i="1" s="1"/>
  <c r="C34" i="8"/>
  <c r="C42" i="8" s="1"/>
  <c r="C25" i="8"/>
  <c r="D41" i="8" s="1"/>
  <c r="D25" i="8"/>
  <c r="F41" i="8" s="1"/>
  <c r="C15" i="8"/>
  <c r="C40" i="8" s="1"/>
  <c r="C8" i="8"/>
  <c r="E39" i="8" s="1"/>
  <c r="D8" i="8"/>
  <c r="G39" i="8" s="1"/>
  <c r="C26" i="8"/>
  <c r="E41" i="8" s="1"/>
  <c r="D26" i="8"/>
  <c r="G41" i="8" s="1"/>
  <c r="D15" i="8"/>
  <c r="C17" i="8"/>
  <c r="E40" i="8" s="1"/>
  <c r="C6" i="8"/>
  <c r="C39" i="8" s="1"/>
  <c r="C36" i="8"/>
  <c r="E42" i="8" s="1"/>
  <c r="D16" i="8"/>
  <c r="F40" i="8" s="1"/>
  <c r="D34" i="8"/>
  <c r="C35" i="8"/>
  <c r="D42" i="8" s="1"/>
  <c r="D17" i="8"/>
  <c r="G40" i="8" s="1"/>
  <c r="D35" i="8"/>
  <c r="F42" i="8" s="1"/>
  <c r="D6" i="8"/>
  <c r="C7" i="8"/>
  <c r="D39" i="8" s="1"/>
  <c r="C24" i="8"/>
  <c r="C41" i="8" s="1"/>
  <c r="H25" i="1" l="1"/>
  <c r="I25" i="1" s="1"/>
  <c r="H22" i="1"/>
  <c r="I22" i="1" s="1"/>
  <c r="H21" i="1"/>
  <c r="I21" i="1" s="1"/>
  <c r="H12" i="1"/>
  <c r="I12" i="1" s="1"/>
  <c r="H27" i="1"/>
  <c r="I27" i="1" s="1"/>
  <c r="H24" i="1"/>
  <c r="I24" i="1" s="1"/>
  <c r="H26" i="1"/>
  <c r="I26" i="1" s="1"/>
  <c r="H20" i="1"/>
  <c r="I20" i="1" s="1"/>
  <c r="H23" i="1"/>
  <c r="I23" i="1" s="1"/>
  <c r="H14" i="1"/>
  <c r="I14" i="1" s="1"/>
  <c r="H15" i="1"/>
  <c r="I15" i="1" s="1"/>
  <c r="H17" i="1"/>
  <c r="I17" i="1" s="1"/>
  <c r="H11" i="1"/>
  <c r="I11" i="1" s="1"/>
  <c r="H18" i="1"/>
  <c r="I18" i="1" s="1"/>
  <c r="H16" i="1"/>
  <c r="I16" i="1" s="1"/>
  <c r="H13" i="1"/>
  <c r="I13" i="1" s="1"/>
  <c r="D10" i="1" l="1"/>
  <c r="F10" i="1" s="1"/>
  <c r="D9" i="1"/>
  <c r="F9" i="1" s="1"/>
  <c r="D8" i="1"/>
  <c r="F8" i="1" s="1"/>
  <c r="D7" i="1"/>
  <c r="F7" i="1" s="1"/>
  <c r="D6" i="1"/>
  <c r="F6" i="1" s="1"/>
  <c r="D5" i="1"/>
  <c r="F5" i="1" s="1"/>
  <c r="D4" i="1"/>
  <c r="F4" i="1" s="1"/>
  <c r="D3" i="1"/>
  <c r="F3" i="1" s="1"/>
  <c r="D2" i="1"/>
  <c r="F2" i="1" s="1"/>
  <c r="G2" i="1" l="1"/>
  <c r="G3" i="1" s="1"/>
  <c r="G4" i="1" s="1"/>
  <c r="G5" i="1" s="1"/>
  <c r="G6" i="1" s="1"/>
  <c r="G7" i="1" s="1"/>
  <c r="H7" i="1" l="1"/>
  <c r="I7" i="1" s="1"/>
  <c r="G8" i="1"/>
  <c r="G9" i="1" s="1"/>
  <c r="G10" i="1" s="1"/>
  <c r="H10" i="1" s="1"/>
  <c r="I10" i="1" s="1"/>
  <c r="H6" i="1"/>
  <c r="I6" i="1" s="1"/>
  <c r="H3" i="1"/>
  <c r="I3" i="1" s="1"/>
  <c r="H5" i="1"/>
  <c r="I5" i="1" s="1"/>
  <c r="H2" i="1"/>
  <c r="I2" i="1" s="1"/>
  <c r="H4" i="1"/>
  <c r="I4" i="1" s="1"/>
  <c r="H9" i="1" l="1"/>
  <c r="I9" i="1" s="1"/>
  <c r="H8" i="1"/>
  <c r="I8" i="1" s="1"/>
</calcChain>
</file>

<file path=xl/sharedStrings.xml><?xml version="1.0" encoding="utf-8"?>
<sst xmlns="http://schemas.openxmlformats.org/spreadsheetml/2006/main" count="852" uniqueCount="160">
  <si>
    <t xml:space="preserve">Cq   </t>
  </si>
  <si>
    <t>Cq Mean</t>
  </si>
  <si>
    <t>target gene</t>
  </si>
  <si>
    <t>expression</t>
  </si>
  <si>
    <t>GAPDH</t>
  </si>
  <si>
    <t>A01</t>
  </si>
  <si>
    <t>FAM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</si>
  <si>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</si>
  <si>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</si>
  <si>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</si>
  <si>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</si>
  <si>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</si>
  <si>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</si>
  <si>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</si>
  <si>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</si>
  <si>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</si>
  <si>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</si>
  <si>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</si>
  <si>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</si>
  <si>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</si>
  <si>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</si>
  <si>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</si>
  <si>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</si>
  <si>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</si>
  <si>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</si>
  <si>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</si>
  <si>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</si>
  <si>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</si>
  <si>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</si>
  <si>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</si>
  <si>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</si>
  <si>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</si>
  <si>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</si>
  <si>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</si>
  <si>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</si>
  <si>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</si>
  <si>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Hole</t>
    <phoneticPr fontId="1" type="noConversion"/>
  </si>
  <si>
    <t>Channel</t>
    <phoneticPr fontId="1" type="noConversion"/>
  </si>
  <si>
    <t>CT</t>
    <phoneticPr fontId="1" type="noConversion"/>
  </si>
  <si>
    <t>TM</t>
    <phoneticPr fontId="1" type="noConversion"/>
  </si>
  <si>
    <t>Target gene</t>
    <phoneticPr fontId="1" type="noConversion"/>
  </si>
  <si>
    <t>Sample name</t>
  </si>
  <si>
    <t>si-NC</t>
    <phoneticPr fontId="1" type="noConversion"/>
  </si>
  <si>
    <t>Invasion</t>
    <phoneticPr fontId="1" type="noConversion"/>
  </si>
  <si>
    <t>C07</t>
  </si>
  <si>
    <t>C08</t>
  </si>
  <si>
    <t>C09</t>
  </si>
  <si>
    <t>C10</t>
  </si>
  <si>
    <t>C11</t>
  </si>
  <si>
    <t>C12</t>
  </si>
  <si>
    <t>si-NC</t>
  </si>
  <si>
    <t>Blank</t>
  </si>
  <si>
    <t>A</t>
  </si>
  <si>
    <t>B</t>
  </si>
  <si>
    <t>C</t>
  </si>
  <si>
    <t>D</t>
  </si>
  <si>
    <t>E</t>
  </si>
  <si>
    <t>F</t>
  </si>
  <si>
    <t>G</t>
  </si>
  <si>
    <t>H</t>
  </si>
  <si>
    <t>Blank</t>
    <phoneticPr fontId="8" type="noConversion"/>
  </si>
  <si>
    <t>0h</t>
    <phoneticPr fontId="1" type="noConversion"/>
  </si>
  <si>
    <t>24h</t>
    <phoneticPr fontId="1" type="noConversion"/>
  </si>
  <si>
    <t>48h</t>
    <phoneticPr fontId="1" type="noConversion"/>
  </si>
  <si>
    <t>72h</t>
    <phoneticPr fontId="1" type="noConversion"/>
  </si>
  <si>
    <t>OD450</t>
    <phoneticPr fontId="1" type="noConversion"/>
  </si>
  <si>
    <t>48h</t>
  </si>
  <si>
    <t>72h</t>
  </si>
  <si>
    <t>Whitespace removal</t>
    <phoneticPr fontId="1" type="noConversion"/>
  </si>
  <si>
    <t>A09</t>
    <phoneticPr fontId="1" type="noConversion"/>
  </si>
  <si>
    <t>B01</t>
    <phoneticPr fontId="1" type="noConversion"/>
  </si>
  <si>
    <t>GAPDH</t>
    <phoneticPr fontId="1" type="noConversion"/>
  </si>
  <si>
    <t>D01</t>
    <phoneticPr fontId="1" type="noConversion"/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</si>
  <si>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</si>
  <si>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</si>
  <si>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</si>
  <si>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</si>
  <si>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</si>
  <si>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</si>
  <si>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</si>
  <si>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</si>
  <si>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</si>
  <si>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</si>
  <si>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</si>
  <si>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  <phoneticPr fontId="1" type="noConversion"/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</si>
  <si>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</si>
  <si>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</si>
  <si>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</si>
  <si>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</si>
  <si>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</si>
  <si>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</si>
  <si>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</si>
  <si>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</si>
  <si>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</si>
  <si>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</si>
  <si>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</si>
  <si>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  <phoneticPr fontId="1" type="noConversion"/>
  </si>
  <si>
    <t>F02</t>
  </si>
  <si>
    <t>F03</t>
  </si>
  <si>
    <t>si-NC</t>
    <phoneticPr fontId="1" type="noConversion"/>
  </si>
  <si>
    <t>NB4</t>
  </si>
  <si>
    <t>NB4</t>
    <phoneticPr fontId="1" type="noConversion"/>
  </si>
  <si>
    <t>SPINK2</t>
    <phoneticPr fontId="1" type="noConversion"/>
  </si>
  <si>
    <t>HNRNPAB</t>
    <phoneticPr fontId="1" type="noConversion"/>
  </si>
  <si>
    <t>SH3BGRL3</t>
    <phoneticPr fontId="1" type="noConversion"/>
  </si>
  <si>
    <t>CLEC11A</t>
    <phoneticPr fontId="1" type="noConversion"/>
  </si>
  <si>
    <t>ITGA4</t>
    <phoneticPr fontId="1" type="noConversion"/>
  </si>
  <si>
    <t>RPL39L</t>
    <phoneticPr fontId="1" type="noConversion"/>
  </si>
  <si>
    <t>MX1</t>
    <phoneticPr fontId="1" type="noConversion"/>
  </si>
  <si>
    <t>HEXIM1</t>
    <phoneticPr fontId="1" type="noConversion"/>
  </si>
  <si>
    <t>MAP4K4</t>
    <phoneticPr fontId="1" type="noConversion"/>
  </si>
  <si>
    <t>HS-5</t>
  </si>
  <si>
    <t>HS-5</t>
    <phoneticPr fontId="1" type="noConversion"/>
  </si>
  <si>
    <t>HL-60</t>
  </si>
  <si>
    <t>HL-60</t>
    <phoneticPr fontId="1" type="noConversion"/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</si>
  <si>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</si>
  <si>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</si>
  <si>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</si>
  <si>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</si>
  <si>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</si>
  <si>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</si>
  <si>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</si>
  <si>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</si>
  <si>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</si>
  <si>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  <phoneticPr fontId="1" type="noConversion"/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</si>
  <si>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</si>
  <si>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</si>
  <si>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</si>
  <si>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</si>
  <si>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</si>
  <si>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</si>
  <si>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</si>
  <si>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</si>
  <si>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</si>
  <si>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</si>
  <si>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</si>
  <si>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  <phoneticPr fontId="1" type="noConversion"/>
  </si>
  <si>
    <t>H02</t>
  </si>
  <si>
    <t>H03</t>
  </si>
  <si>
    <t>H04</t>
  </si>
  <si>
    <t>H05</t>
  </si>
  <si>
    <t>H06</t>
  </si>
  <si>
    <t>SPINK2</t>
  </si>
  <si>
    <t>SH3BGRL3</t>
  </si>
  <si>
    <t>CLEC11A</t>
  </si>
  <si>
    <t>ITGA4</t>
  </si>
  <si>
    <t>RPL39L</t>
  </si>
  <si>
    <t>MX1</t>
  </si>
  <si>
    <t>MX1</t>
    <phoneticPr fontId="1" type="noConversion"/>
  </si>
  <si>
    <t>HEXIM1</t>
  </si>
  <si>
    <t>HEXIM1</t>
    <phoneticPr fontId="1" type="noConversion"/>
  </si>
  <si>
    <t>MAP4K4</t>
  </si>
  <si>
    <t>MAP4K4</t>
    <phoneticPr fontId="1" type="noConversion"/>
  </si>
  <si>
    <t>GAPDH</t>
    <phoneticPr fontId="1" type="noConversion"/>
  </si>
  <si>
    <t>HL-60</t>
    <phoneticPr fontId="1" type="noConversion"/>
  </si>
  <si>
    <t>NB4</t>
    <phoneticPr fontId="1" type="noConversion"/>
  </si>
  <si>
    <t>si-SPINK2#1</t>
  </si>
  <si>
    <t>si-SPINK2#1</t>
    <phoneticPr fontId="1" type="noConversion"/>
  </si>
  <si>
    <t>si-SPINK2#2</t>
    <phoneticPr fontId="1" type="noConversion"/>
  </si>
  <si>
    <t>si-SPINK2#1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</si>
</sst>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##0.00;\-###0.00"/>
    <numFmt numFmtId="178" formatCode="0.0000"/>
  </numFmts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.25"/>
      <name val="Microsoft Sans Serif"/>
      <family val="2"/>
    </font>
    <font>
      <b/>
      <sz val="8.25"/>
      <name val="Microsoft Sans Serif"/>
      <family val="2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9"/>
      <name val="宋体"/>
      <family val="3"/>
      <charset val="134"/>
    </font>
    <font>
      <sz val="10.5"/>
      <color theme="1"/>
      <name val="等线"/>
      <family val="3"/>
      <charset val="134"/>
    </font>
    <font>
      <sz val="11"/>
      <name val="等线"/>
      <family val="3"/>
      <charset val="134"/>
    </font>
    <font>
      <sz val="11"/>
      <color rgb="FF00000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>
      <alignment vertical="top"/>
      <protection locked="0"/>
    </xf>
    <xf numFmtId="0" fontId="6" fillId="0" borderId="0">
      <alignment vertical="center"/>
    </xf>
    <xf numFmtId="0" fontId="5" fillId="0" borderId="0"/>
  </cellStyleXfs>
  <cellXfs count="23">
    <xf numFmtId="0" fontId="0" fillId="0" borderId="0" xfId="0"/>
    <xf numFmtId="176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77" fontId="3" fillId="0" borderId="0" xfId="1" applyNumberFormat="1" applyFont="1" applyAlignment="1" applyProtection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2" applyFont="1">
      <alignment vertical="center"/>
    </xf>
    <xf numFmtId="0" fontId="7" fillId="2" borderId="0" xfId="2" applyFont="1" applyFill="1">
      <alignment vertical="center"/>
    </xf>
    <xf numFmtId="0" fontId="7" fillId="3" borderId="0" xfId="2" applyFont="1" applyFill="1">
      <alignment vertical="center"/>
    </xf>
    <xf numFmtId="0" fontId="7" fillId="4" borderId="0" xfId="2" applyFont="1" applyFill="1">
      <alignment vertical="center"/>
    </xf>
    <xf numFmtId="0" fontId="7" fillId="5" borderId="0" xfId="2" applyFont="1" applyFill="1">
      <alignment vertical="center"/>
    </xf>
    <xf numFmtId="0" fontId="9" fillId="0" borderId="0" xfId="2" applyFont="1">
      <alignment vertical="center"/>
    </xf>
    <xf numFmtId="0" fontId="7" fillId="0" borderId="0" xfId="3" applyFont="1"/>
    <xf numFmtId="0" fontId="7" fillId="0" borderId="0" xfId="3" applyFont="1" applyAlignment="1">
      <alignment horizontal="center"/>
    </xf>
    <xf numFmtId="0" fontId="10" fillId="0" borderId="0" xfId="3" applyFont="1"/>
    <xf numFmtId="0" fontId="11" fillId="0" borderId="0" xfId="3" applyFont="1"/>
    <xf numFmtId="0" fontId="12" fillId="0" borderId="0" xfId="0" applyFont="1"/>
    <xf numFmtId="178" fontId="7" fillId="0" borderId="0" xfId="3" applyNumberFormat="1" applyFont="1"/>
    <xf numFmtId="178" fontId="13" fillId="0" borderId="0" xfId="3" applyNumberFormat="1" applyFont="1"/>
    <xf numFmtId="0" fontId="14" fillId="0" borderId="0" xfId="0" applyFont="1"/>
    <xf numFmtId="0" fontId="0" fillId="0" borderId="0" xfId="0" applyAlignment="1">
      <alignment horizontal="center" vertical="center"/>
    </xf>
    <xf numFmtId="0" fontId="7" fillId="0" borderId="0" xfId="3" applyFont="1" applyAlignment="1">
      <alignment horizontal="center"/>
    </xf>
    <xf numFmtId="0" fontId="7" fillId="0" borderId="0" xfId="2" applyFont="1" applyAlignment="1">
      <alignment horizontal="center" vertical="center"/>
    </xf>
  </cellXfs>
  <cellStyles count="4">
    <cellStyle name="Normal" xfId="1" xr:uid="{35383C33-3018-4BD8-819F-013AC27CEC6B}"/>
    <cellStyle name="常规" xfId="0" builtinId="0"/>
    <cellStyle name="常规 2" xfId="2" xr:uid="{17429E47-C733-427F-A13B-F9927498ACAA}"/>
    <cellStyle name="常规 2 2" xfId="3" xr:uid="{77206542-0E71-4D58-8786-F0160FA63B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2"/>
  <sheetViews>
    <sheetView tabSelected="1" zoomScaleNormal="100" workbookViewId="0">
      <selection activeCell="M29" sqref="M29"/>
    </sheetView>
  </sheetViews>
  <sheetFormatPr defaultRowHeight="14" x14ac:dyDescent="0.3"/>
  <cols>
    <col min="1" max="1" width="11.75" bestFit="1" customWidth="1"/>
    <col min="9" max="9" width="12.83203125" style="16" customWidth="1"/>
  </cols>
  <sheetData>
    <row r="1" spans="1:16" s="2" customFormat="1" x14ac:dyDescent="0.3">
      <c r="A1"/>
      <c r="B1"/>
      <c r="C1" s="1" t="s">
        <v>0</v>
      </c>
      <c r="D1" s="1" t="s">
        <v>1</v>
      </c>
      <c r="E1" s="2" t="s">
        <v>2</v>
      </c>
      <c r="F1"/>
      <c r="G1"/>
      <c r="H1"/>
      <c r="I1" s="16" t="s">
        <v>3</v>
      </c>
      <c r="L1" s="4"/>
      <c r="M1" s="4"/>
      <c r="N1" s="4"/>
      <c r="O1" s="4"/>
      <c r="P1" s="4"/>
    </row>
    <row r="2" spans="1:16" s="2" customFormat="1" x14ac:dyDescent="0.3">
      <c r="A2" s="2" t="s">
        <v>112</v>
      </c>
      <c r="B2" t="s">
        <v>4</v>
      </c>
      <c r="C2" s="2">
        <v>17.46</v>
      </c>
      <c r="D2" s="1">
        <f>AVERAGE(C2:C4)</f>
        <v>17.49666666666667</v>
      </c>
      <c r="E2" s="2">
        <v>23.41</v>
      </c>
      <c r="F2" s="1">
        <f>E2-D2</f>
        <v>5.9133333333333304</v>
      </c>
      <c r="G2" s="1">
        <f>AVERAGE(F2:F4)</f>
        <v>5.9733333333333301</v>
      </c>
      <c r="H2" s="1">
        <f>F2-G2</f>
        <v>-5.9999999999999609E-2</v>
      </c>
      <c r="I2" s="16">
        <f>POWER(2,-H2)</f>
        <v>1.0424657608411212</v>
      </c>
      <c r="J2" s="20" t="s">
        <v>102</v>
      </c>
      <c r="N2" s="4"/>
      <c r="O2" s="4"/>
      <c r="P2" s="4"/>
    </row>
    <row r="3" spans="1:16" s="2" customFormat="1" x14ac:dyDescent="0.3">
      <c r="A3" s="2" t="s">
        <v>112</v>
      </c>
      <c r="B3" t="s">
        <v>4</v>
      </c>
      <c r="C3" s="2">
        <v>17.66</v>
      </c>
      <c r="D3" s="1">
        <f>AVERAGE(C2:C4)</f>
        <v>17.49666666666667</v>
      </c>
      <c r="E3" s="2">
        <v>23.49</v>
      </c>
      <c r="F3" s="1">
        <f t="shared" ref="F3:F7" si="0">E3-D3</f>
        <v>5.9933333333333287</v>
      </c>
      <c r="G3" s="1">
        <f>G2</f>
        <v>5.9733333333333301</v>
      </c>
      <c r="H3" s="1">
        <f t="shared" ref="H3:H7" si="1">F3-G3</f>
        <v>1.9999999999998685E-2</v>
      </c>
      <c r="I3" s="16">
        <f t="shared" ref="I3:I7" si="2">POWER(2,-H3)</f>
        <v>0.98623270449336009</v>
      </c>
      <c r="J3" s="20"/>
      <c r="N3" s="4"/>
      <c r="O3" s="4"/>
      <c r="P3" s="4"/>
    </row>
    <row r="4" spans="1:16" s="2" customFormat="1" x14ac:dyDescent="0.3">
      <c r="A4" s="2" t="s">
        <v>111</v>
      </c>
      <c r="B4" t="s">
        <v>4</v>
      </c>
      <c r="C4" s="2">
        <v>17.37</v>
      </c>
      <c r="D4" s="1">
        <f>AVERAGE(C2:C4)</f>
        <v>17.49666666666667</v>
      </c>
      <c r="E4" s="2">
        <v>23.51</v>
      </c>
      <c r="F4" s="1">
        <f t="shared" si="0"/>
        <v>6.0133333333333319</v>
      </c>
      <c r="G4" s="1">
        <f t="shared" ref="G4:G10" si="3">G3</f>
        <v>5.9733333333333301</v>
      </c>
      <c r="H4" s="1">
        <f t="shared" si="1"/>
        <v>4.0000000000001812E-2</v>
      </c>
      <c r="I4" s="16">
        <f t="shared" si="2"/>
        <v>0.9726549474122842</v>
      </c>
      <c r="J4" s="20"/>
      <c r="N4" s="4"/>
      <c r="O4" s="4"/>
      <c r="P4" s="4"/>
    </row>
    <row r="5" spans="1:16" s="2" customFormat="1" ht="15.5" x14ac:dyDescent="0.3">
      <c r="A5" s="5" t="s">
        <v>114</v>
      </c>
      <c r="B5" t="s">
        <v>4</v>
      </c>
      <c r="C5" s="2">
        <v>17.43</v>
      </c>
      <c r="D5" s="1">
        <f>AVERAGE(C5:C7)</f>
        <v>17.543333333333333</v>
      </c>
      <c r="E5" s="2">
        <v>21.34</v>
      </c>
      <c r="F5" s="1">
        <f t="shared" si="0"/>
        <v>3.7966666666666669</v>
      </c>
      <c r="G5" s="1">
        <f t="shared" si="3"/>
        <v>5.9733333333333301</v>
      </c>
      <c r="H5" s="1">
        <f t="shared" si="1"/>
        <v>-2.1766666666666632</v>
      </c>
      <c r="I5" s="16">
        <f t="shared" si="2"/>
        <v>4.5210775570926129</v>
      </c>
      <c r="J5" s="20"/>
      <c r="L5" s="4"/>
      <c r="M5" s="4"/>
      <c r="N5" s="4"/>
      <c r="O5" s="4"/>
      <c r="P5" s="4"/>
    </row>
    <row r="6" spans="1:16" s="2" customFormat="1" ht="15.5" x14ac:dyDescent="0.3">
      <c r="A6" s="5" t="s">
        <v>114</v>
      </c>
      <c r="B6" t="s">
        <v>4</v>
      </c>
      <c r="C6" s="2">
        <v>17.579999999999998</v>
      </c>
      <c r="D6" s="1">
        <f>AVERAGE(C5:C7)</f>
        <v>17.543333333333333</v>
      </c>
      <c r="E6" s="2">
        <v>21.28</v>
      </c>
      <c r="F6" s="1">
        <f t="shared" si="0"/>
        <v>3.7366666666666681</v>
      </c>
      <c r="G6" s="1">
        <f t="shared" si="3"/>
        <v>5.9733333333333301</v>
      </c>
      <c r="H6" s="1">
        <f t="shared" si="1"/>
        <v>-2.2366666666666619</v>
      </c>
      <c r="I6" s="16">
        <f t="shared" si="2"/>
        <v>4.7130685553762648</v>
      </c>
      <c r="J6" s="20"/>
      <c r="L6" s="4"/>
      <c r="M6" s="4"/>
      <c r="N6" s="4"/>
      <c r="O6" s="4"/>
      <c r="P6" s="4"/>
    </row>
    <row r="7" spans="1:16" s="2" customFormat="1" ht="15.5" x14ac:dyDescent="0.3">
      <c r="A7" s="5" t="s">
        <v>113</v>
      </c>
      <c r="B7" t="s">
        <v>4</v>
      </c>
      <c r="C7" s="2">
        <v>17.62</v>
      </c>
      <c r="D7" s="1">
        <f>AVERAGE(C5:C7)</f>
        <v>17.543333333333333</v>
      </c>
      <c r="E7" s="2">
        <v>21.32</v>
      </c>
      <c r="F7" s="1">
        <f t="shared" si="0"/>
        <v>3.7766666666666673</v>
      </c>
      <c r="G7" s="1">
        <f t="shared" si="3"/>
        <v>5.9733333333333301</v>
      </c>
      <c r="H7" s="1">
        <f t="shared" si="1"/>
        <v>-2.1966666666666628</v>
      </c>
      <c r="I7" s="16">
        <f t="shared" si="2"/>
        <v>4.58418944788</v>
      </c>
      <c r="J7" s="20"/>
      <c r="L7" s="4"/>
      <c r="M7" s="4"/>
      <c r="N7" s="4"/>
      <c r="O7" s="4"/>
    </row>
    <row r="8" spans="1:16" s="2" customFormat="1" x14ac:dyDescent="0.3">
      <c r="A8" s="2" t="s">
        <v>101</v>
      </c>
      <c r="B8" t="s">
        <v>4</v>
      </c>
      <c r="C8" s="2">
        <v>17.510000000000002</v>
      </c>
      <c r="D8" s="1">
        <f>AVERAGE(C8:C10)</f>
        <v>17.456666666666667</v>
      </c>
      <c r="E8" s="2">
        <v>21.23</v>
      </c>
      <c r="F8" s="1">
        <f>E8-D8</f>
        <v>3.7733333333333334</v>
      </c>
      <c r="G8" s="1">
        <f>G7</f>
        <v>5.9733333333333301</v>
      </c>
      <c r="H8" s="1">
        <f>F8-G8</f>
        <v>-2.1999999999999966</v>
      </c>
      <c r="I8" s="16">
        <f>POWER(2,-H8)</f>
        <v>4.5947934199881288</v>
      </c>
      <c r="J8" s="20"/>
      <c r="M8" s="4"/>
      <c r="N8" s="4"/>
      <c r="O8" s="4"/>
    </row>
    <row r="9" spans="1:16" s="2" customFormat="1" x14ac:dyDescent="0.3">
      <c r="A9" s="2" t="s">
        <v>101</v>
      </c>
      <c r="B9" t="s">
        <v>4</v>
      </c>
      <c r="C9" s="2">
        <v>17.57</v>
      </c>
      <c r="D9" s="1">
        <f>AVERAGE(C8:C10)</f>
        <v>17.456666666666667</v>
      </c>
      <c r="E9" s="2">
        <v>21.27</v>
      </c>
      <c r="F9" s="1">
        <f t="shared" ref="F9:F10" si="4">E9-D9</f>
        <v>3.8133333333333326</v>
      </c>
      <c r="G9" s="1">
        <f t="shared" si="3"/>
        <v>5.9733333333333301</v>
      </c>
      <c r="H9" s="1">
        <f t="shared" ref="H9:H10" si="5">F9-G9</f>
        <v>-2.1599999999999975</v>
      </c>
      <c r="I9" s="16">
        <f t="shared" ref="I9:I10" si="6">POWER(2,-H9)</f>
        <v>4.4691485522888721</v>
      </c>
      <c r="J9" s="20"/>
      <c r="M9" s="4"/>
      <c r="N9" s="4"/>
      <c r="O9" s="4"/>
    </row>
    <row r="10" spans="1:16" s="2" customFormat="1" x14ac:dyDescent="0.3">
      <c r="A10" s="2" t="s">
        <v>100</v>
      </c>
      <c r="B10" t="s">
        <v>4</v>
      </c>
      <c r="C10" s="2">
        <v>17.29</v>
      </c>
      <c r="D10" s="1">
        <f>AVERAGE(C8:C10)</f>
        <v>17.456666666666667</v>
      </c>
      <c r="E10" s="2">
        <v>21.28</v>
      </c>
      <c r="F10" s="1">
        <f t="shared" si="4"/>
        <v>3.8233333333333341</v>
      </c>
      <c r="G10" s="1">
        <f t="shared" si="3"/>
        <v>5.9733333333333301</v>
      </c>
      <c r="H10" s="1">
        <f t="shared" si="5"/>
        <v>-2.1499999999999959</v>
      </c>
      <c r="I10" s="16">
        <f t="shared" si="6"/>
        <v>4.4382778882713669</v>
      </c>
      <c r="J10" s="20"/>
      <c r="M10" s="4"/>
      <c r="N10" s="4"/>
      <c r="O10" s="4"/>
    </row>
    <row r="11" spans="1:16" s="2" customFormat="1" x14ac:dyDescent="0.3">
      <c r="A11" s="2" t="s">
        <v>112</v>
      </c>
      <c r="B11" t="s">
        <v>4</v>
      </c>
      <c r="C11" s="2">
        <v>17.46</v>
      </c>
      <c r="D11" s="1">
        <f>AVERAGE(C11:C13)</f>
        <v>17.49666666666667</v>
      </c>
      <c r="E11" s="2">
        <v>33.75</v>
      </c>
      <c r="F11" s="1">
        <f>E11-D11</f>
        <v>16.25333333333333</v>
      </c>
      <c r="G11" s="1">
        <f>AVERAGE(F11:F13)</f>
        <v>16.483333333333331</v>
      </c>
      <c r="H11" s="1">
        <f>F11-G11</f>
        <v>-0.23000000000000043</v>
      </c>
      <c r="I11" s="16">
        <f>POWER(2,-H11)</f>
        <v>1.1728349492318793</v>
      </c>
      <c r="J11" s="20" t="s">
        <v>103</v>
      </c>
      <c r="N11" s="4"/>
      <c r="O11" s="4"/>
      <c r="P11" s="4"/>
    </row>
    <row r="12" spans="1:16" s="2" customFormat="1" x14ac:dyDescent="0.3">
      <c r="A12" s="2" t="s">
        <v>112</v>
      </c>
      <c r="B12" t="s">
        <v>4</v>
      </c>
      <c r="C12" s="2">
        <v>17.66</v>
      </c>
      <c r="D12" s="1">
        <f>AVERAGE(C11:C13)</f>
        <v>17.49666666666667</v>
      </c>
      <c r="E12" s="2">
        <v>34.130000000000003</v>
      </c>
      <c r="F12" s="1">
        <f t="shared" ref="F12:F16" si="7">E12-D12</f>
        <v>16.633333333333333</v>
      </c>
      <c r="G12" s="1">
        <f>G11</f>
        <v>16.483333333333331</v>
      </c>
      <c r="H12" s="1">
        <f t="shared" ref="H12:H16" si="8">F12-G12</f>
        <v>0.15000000000000213</v>
      </c>
      <c r="I12" s="16">
        <f t="shared" ref="I12:I16" si="9">POWER(2,-H12)</f>
        <v>0.90125046261082897</v>
      </c>
      <c r="J12" s="20"/>
      <c r="N12" s="4"/>
      <c r="O12" s="4"/>
      <c r="P12" s="4"/>
    </row>
    <row r="13" spans="1:16" s="2" customFormat="1" x14ac:dyDescent="0.3">
      <c r="A13" s="2" t="s">
        <v>111</v>
      </c>
      <c r="B13" t="s">
        <v>4</v>
      </c>
      <c r="C13" s="2">
        <v>17.37</v>
      </c>
      <c r="D13" s="1">
        <f>AVERAGE(C11:C13)</f>
        <v>17.49666666666667</v>
      </c>
      <c r="E13" s="2">
        <v>34.06</v>
      </c>
      <c r="F13" s="1">
        <f t="shared" si="7"/>
        <v>16.563333333333333</v>
      </c>
      <c r="G13" s="1">
        <f t="shared" ref="G13:G19" si="10">G12</f>
        <v>16.483333333333331</v>
      </c>
      <c r="H13" s="1">
        <f t="shared" si="8"/>
        <v>8.0000000000001847E-2</v>
      </c>
      <c r="I13" s="16">
        <f t="shared" si="9"/>
        <v>0.94605764672559456</v>
      </c>
      <c r="J13" s="20"/>
      <c r="N13" s="4"/>
      <c r="O13" s="4"/>
      <c r="P13" s="4"/>
    </row>
    <row r="14" spans="1:16" s="2" customFormat="1" ht="15.5" x14ac:dyDescent="0.3">
      <c r="A14" s="5" t="s">
        <v>113</v>
      </c>
      <c r="B14" t="s">
        <v>4</v>
      </c>
      <c r="C14" s="2">
        <v>17.43</v>
      </c>
      <c r="D14" s="1">
        <f>AVERAGE(C14:C16)</f>
        <v>17.543333333333333</v>
      </c>
      <c r="E14" s="2">
        <v>31.61</v>
      </c>
      <c r="F14" s="1">
        <f t="shared" si="7"/>
        <v>14.066666666666666</v>
      </c>
      <c r="G14" s="1">
        <f t="shared" si="10"/>
        <v>16.483333333333331</v>
      </c>
      <c r="H14" s="1">
        <f t="shared" si="8"/>
        <v>-2.4166666666666643</v>
      </c>
      <c r="I14" s="16">
        <f t="shared" si="9"/>
        <v>5.3393594166801286</v>
      </c>
      <c r="J14" s="20"/>
      <c r="L14" s="4"/>
      <c r="M14" s="4"/>
      <c r="N14" s="4"/>
      <c r="O14" s="4"/>
      <c r="P14" s="4"/>
    </row>
    <row r="15" spans="1:16" s="2" customFormat="1" ht="15.5" x14ac:dyDescent="0.3">
      <c r="A15" s="5" t="s">
        <v>113</v>
      </c>
      <c r="B15" t="s">
        <v>4</v>
      </c>
      <c r="C15" s="2">
        <v>17.579999999999998</v>
      </c>
      <c r="D15" s="1">
        <f>AVERAGE(C14:C16)</f>
        <v>17.543333333333333</v>
      </c>
      <c r="E15" s="2">
        <v>32.25</v>
      </c>
      <c r="F15" s="1">
        <f t="shared" si="7"/>
        <v>14.706666666666667</v>
      </c>
      <c r="G15" s="1">
        <f t="shared" si="10"/>
        <v>16.483333333333331</v>
      </c>
      <c r="H15" s="1">
        <f t="shared" si="8"/>
        <v>-1.7766666666666637</v>
      </c>
      <c r="I15" s="16">
        <f t="shared" si="9"/>
        <v>3.4263360758818178</v>
      </c>
      <c r="J15" s="20"/>
      <c r="L15" s="4"/>
      <c r="M15" s="4"/>
      <c r="N15" s="4"/>
      <c r="O15" s="4"/>
      <c r="P15" s="4"/>
    </row>
    <row r="16" spans="1:16" s="2" customFormat="1" ht="15.5" x14ac:dyDescent="0.3">
      <c r="A16" s="5" t="s">
        <v>113</v>
      </c>
      <c r="B16" t="s">
        <v>4</v>
      </c>
      <c r="C16" s="2">
        <v>17.62</v>
      </c>
      <c r="D16" s="1">
        <f>AVERAGE(C14:C16)</f>
        <v>17.543333333333333</v>
      </c>
      <c r="E16" s="2">
        <v>31.86</v>
      </c>
      <c r="F16" s="1">
        <f t="shared" si="7"/>
        <v>14.316666666666666</v>
      </c>
      <c r="G16" s="1">
        <f t="shared" si="10"/>
        <v>16.483333333333331</v>
      </c>
      <c r="H16" s="1">
        <f t="shared" si="8"/>
        <v>-2.1666666666666643</v>
      </c>
      <c r="I16" s="16">
        <f t="shared" si="9"/>
        <v>4.4898481932374841</v>
      </c>
      <c r="J16" s="20"/>
      <c r="L16" s="4"/>
      <c r="M16" s="4"/>
      <c r="N16" s="4"/>
      <c r="O16" s="4"/>
    </row>
    <row r="17" spans="1:16" s="2" customFormat="1" x14ac:dyDescent="0.3">
      <c r="A17" s="2" t="s">
        <v>100</v>
      </c>
      <c r="B17" t="s">
        <v>4</v>
      </c>
      <c r="C17" s="2">
        <v>17.510000000000002</v>
      </c>
      <c r="D17" s="1">
        <f>AVERAGE(C17:C19)</f>
        <v>17.456666666666667</v>
      </c>
      <c r="E17" s="2">
        <v>32.020000000000003</v>
      </c>
      <c r="F17" s="1">
        <f>E17-D17</f>
        <v>14.563333333333336</v>
      </c>
      <c r="G17" s="1">
        <f>G16</f>
        <v>16.483333333333331</v>
      </c>
      <c r="H17" s="1">
        <f>F17-G17</f>
        <v>-1.9199999999999946</v>
      </c>
      <c r="I17" s="16">
        <f>POWER(2,-H17)</f>
        <v>3.7842305869023694</v>
      </c>
      <c r="J17" s="20"/>
      <c r="M17" s="4"/>
      <c r="N17" s="4"/>
      <c r="O17" s="4"/>
    </row>
    <row r="18" spans="1:16" s="2" customFormat="1" x14ac:dyDescent="0.3">
      <c r="A18" s="2" t="s">
        <v>100</v>
      </c>
      <c r="B18" t="s">
        <v>4</v>
      </c>
      <c r="C18" s="2">
        <v>17.57</v>
      </c>
      <c r="D18" s="1">
        <f>AVERAGE(C17:C19)</f>
        <v>17.456666666666667</v>
      </c>
      <c r="E18" s="2">
        <v>31.59</v>
      </c>
      <c r="F18" s="1">
        <f t="shared" ref="F18:F19" si="11">E18-D18</f>
        <v>14.133333333333333</v>
      </c>
      <c r="G18" s="1">
        <f t="shared" si="10"/>
        <v>16.483333333333331</v>
      </c>
      <c r="H18" s="1">
        <f t="shared" ref="H18:H19" si="12">F18-G18</f>
        <v>-2.3499999999999979</v>
      </c>
      <c r="I18" s="16">
        <f t="shared" ref="I18:I19" si="13">POWER(2,-H18)</f>
        <v>5.0982425092770409</v>
      </c>
      <c r="J18" s="20"/>
      <c r="M18" s="4"/>
      <c r="N18" s="4"/>
      <c r="O18" s="4"/>
    </row>
    <row r="19" spans="1:16" s="2" customFormat="1" x14ac:dyDescent="0.3">
      <c r="A19" s="2" t="s">
        <v>100</v>
      </c>
      <c r="B19" t="s">
        <v>4</v>
      </c>
      <c r="C19" s="2">
        <v>17.29</v>
      </c>
      <c r="D19" s="1">
        <f>AVERAGE(C17:C19)</f>
        <v>17.456666666666667</v>
      </c>
      <c r="E19" s="2">
        <v>31.37</v>
      </c>
      <c r="F19" s="1">
        <f t="shared" si="11"/>
        <v>13.913333333333334</v>
      </c>
      <c r="G19" s="1">
        <f t="shared" si="10"/>
        <v>16.483333333333331</v>
      </c>
      <c r="H19" s="1">
        <f t="shared" si="12"/>
        <v>-2.5699999999999967</v>
      </c>
      <c r="I19" s="16">
        <f t="shared" si="13"/>
        <v>5.9380942825161824</v>
      </c>
      <c r="J19" s="20"/>
      <c r="M19" s="4"/>
      <c r="N19" s="4"/>
      <c r="O19" s="4"/>
    </row>
    <row r="20" spans="1:16" s="2" customFormat="1" x14ac:dyDescent="0.3">
      <c r="A20" s="2" t="s">
        <v>112</v>
      </c>
      <c r="B20" t="s">
        <v>4</v>
      </c>
      <c r="C20" s="2">
        <v>17.46</v>
      </c>
      <c r="D20" s="1">
        <f>AVERAGE(C20:C22)</f>
        <v>17.49666666666667</v>
      </c>
      <c r="E20" s="2">
        <v>32.090000000000003</v>
      </c>
      <c r="F20" s="1">
        <f>E20-D20</f>
        <v>14.593333333333334</v>
      </c>
      <c r="G20" s="1">
        <f>AVERAGE(F20:F22)</f>
        <v>14.639999999999999</v>
      </c>
      <c r="H20" s="1">
        <f>F20-G20</f>
        <v>-4.666666666666508E-2</v>
      </c>
      <c r="I20" s="16">
        <f>POWER(2,-H20)</f>
        <v>1.0328757151493859</v>
      </c>
      <c r="J20" s="20" t="s">
        <v>104</v>
      </c>
      <c r="N20" s="4"/>
      <c r="O20" s="4"/>
      <c r="P20" s="4"/>
    </row>
    <row r="21" spans="1:16" s="2" customFormat="1" x14ac:dyDescent="0.3">
      <c r="A21" s="2" t="s">
        <v>112</v>
      </c>
      <c r="B21" t="s">
        <v>4</v>
      </c>
      <c r="C21" s="2">
        <v>17.66</v>
      </c>
      <c r="D21" s="1">
        <f>AVERAGE(C20:C22)</f>
        <v>17.49666666666667</v>
      </c>
      <c r="E21" s="2">
        <v>31.82</v>
      </c>
      <c r="F21" s="1">
        <f t="shared" ref="F21:F25" si="14">E21-D21</f>
        <v>14.323333333333331</v>
      </c>
      <c r="G21" s="1">
        <f>G20</f>
        <v>14.639999999999999</v>
      </c>
      <c r="H21" s="1">
        <f t="shared" ref="H21:H25" si="15">F21-G21</f>
        <v>-0.31666666666666821</v>
      </c>
      <c r="I21" s="16">
        <f t="shared" ref="I21:I25" si="16">POWER(2,-H21)</f>
        <v>1.2454496223588243</v>
      </c>
      <c r="J21" s="20"/>
      <c r="N21" s="4"/>
      <c r="O21" s="4"/>
      <c r="P21" s="4"/>
    </row>
    <row r="22" spans="1:16" s="2" customFormat="1" x14ac:dyDescent="0.3">
      <c r="A22" s="2" t="s">
        <v>111</v>
      </c>
      <c r="B22" t="s">
        <v>4</v>
      </c>
      <c r="C22" s="2">
        <v>17.37</v>
      </c>
      <c r="D22" s="1">
        <f>AVERAGE(C20:C22)</f>
        <v>17.49666666666667</v>
      </c>
      <c r="E22" s="2">
        <v>32.5</v>
      </c>
      <c r="F22" s="1">
        <f t="shared" si="14"/>
        <v>15.00333333333333</v>
      </c>
      <c r="G22" s="1">
        <f t="shared" ref="G22:G28" si="17">G21</f>
        <v>14.639999999999999</v>
      </c>
      <c r="H22" s="1">
        <f t="shared" si="15"/>
        <v>0.36333333333333151</v>
      </c>
      <c r="I22" s="16">
        <f t="shared" si="16"/>
        <v>0.77736640535424839</v>
      </c>
      <c r="J22" s="20"/>
      <c r="N22" s="4"/>
      <c r="O22" s="4"/>
      <c r="P22" s="4"/>
    </row>
    <row r="23" spans="1:16" s="2" customFormat="1" ht="15.5" x14ac:dyDescent="0.3">
      <c r="A23" s="5" t="s">
        <v>113</v>
      </c>
      <c r="B23" t="s">
        <v>4</v>
      </c>
      <c r="C23" s="2">
        <v>17.43</v>
      </c>
      <c r="D23" s="1">
        <f>AVERAGE(C23:C25)</f>
        <v>17.543333333333333</v>
      </c>
      <c r="E23" s="2">
        <v>31.07</v>
      </c>
      <c r="F23" s="1">
        <f t="shared" si="14"/>
        <v>13.526666666666667</v>
      </c>
      <c r="G23" s="1">
        <f t="shared" si="17"/>
        <v>14.639999999999999</v>
      </c>
      <c r="H23" s="1">
        <f t="shared" si="15"/>
        <v>-1.1133333333333315</v>
      </c>
      <c r="I23" s="16">
        <f t="shared" si="16"/>
        <v>2.1634493321602069</v>
      </c>
      <c r="J23" s="20"/>
      <c r="L23" s="4"/>
      <c r="M23" s="4"/>
      <c r="N23" s="4"/>
      <c r="O23" s="4"/>
      <c r="P23" s="4"/>
    </row>
    <row r="24" spans="1:16" s="2" customFormat="1" ht="15.5" x14ac:dyDescent="0.3">
      <c r="A24" s="5" t="s">
        <v>113</v>
      </c>
      <c r="B24" t="s">
        <v>4</v>
      </c>
      <c r="C24" s="2">
        <v>17.579999999999998</v>
      </c>
      <c r="D24" s="1">
        <f>AVERAGE(C23:C25)</f>
        <v>17.543333333333333</v>
      </c>
      <c r="E24" s="2">
        <v>31.11</v>
      </c>
      <c r="F24" s="1">
        <f t="shared" si="14"/>
        <v>13.566666666666666</v>
      </c>
      <c r="G24" s="1">
        <f t="shared" si="17"/>
        <v>14.639999999999999</v>
      </c>
      <c r="H24" s="1">
        <f t="shared" si="15"/>
        <v>-1.0733333333333324</v>
      </c>
      <c r="I24" s="16">
        <f t="shared" si="16"/>
        <v>2.1042896964014313</v>
      </c>
      <c r="J24" s="20"/>
      <c r="L24" s="4"/>
      <c r="M24" s="4"/>
      <c r="N24" s="4"/>
      <c r="O24" s="4"/>
      <c r="P24" s="4"/>
    </row>
    <row r="25" spans="1:16" s="2" customFormat="1" ht="15.5" x14ac:dyDescent="0.3">
      <c r="A25" s="5" t="s">
        <v>113</v>
      </c>
      <c r="B25" t="s">
        <v>4</v>
      </c>
      <c r="C25" s="2">
        <v>17.62</v>
      </c>
      <c r="D25" s="1">
        <f>AVERAGE(C23:C25)</f>
        <v>17.543333333333333</v>
      </c>
      <c r="E25" s="2">
        <v>31.02</v>
      </c>
      <c r="F25" s="1">
        <f t="shared" si="14"/>
        <v>13.476666666666667</v>
      </c>
      <c r="G25" s="1">
        <f t="shared" si="17"/>
        <v>14.639999999999999</v>
      </c>
      <c r="H25" s="1">
        <f t="shared" si="15"/>
        <v>-1.1633333333333322</v>
      </c>
      <c r="I25" s="16">
        <f t="shared" si="16"/>
        <v>2.2397432080935165</v>
      </c>
      <c r="J25" s="20"/>
      <c r="L25" s="4"/>
      <c r="M25" s="4"/>
      <c r="N25" s="4"/>
      <c r="O25" s="4"/>
    </row>
    <row r="26" spans="1:16" s="2" customFormat="1" x14ac:dyDescent="0.3">
      <c r="A26" s="2" t="s">
        <v>100</v>
      </c>
      <c r="B26" t="s">
        <v>4</v>
      </c>
      <c r="C26" s="2">
        <v>17.510000000000002</v>
      </c>
      <c r="D26" s="1">
        <f>AVERAGE(C26:C28)</f>
        <v>17.456666666666667</v>
      </c>
      <c r="E26" s="2">
        <v>30.98</v>
      </c>
      <c r="F26" s="1">
        <f>E26-D26</f>
        <v>13.523333333333333</v>
      </c>
      <c r="G26" s="1">
        <f>G25</f>
        <v>14.639999999999999</v>
      </c>
      <c r="H26" s="1">
        <f>F26-G26</f>
        <v>-1.1166666666666654</v>
      </c>
      <c r="I26" s="16">
        <f>POWER(2,-H26)</f>
        <v>2.1684537406028346</v>
      </c>
      <c r="J26" s="20"/>
      <c r="M26" s="4"/>
      <c r="N26" s="4"/>
      <c r="O26" s="4"/>
    </row>
    <row r="27" spans="1:16" s="2" customFormat="1" x14ac:dyDescent="0.3">
      <c r="A27" s="2" t="s">
        <v>100</v>
      </c>
      <c r="B27" t="s">
        <v>4</v>
      </c>
      <c r="C27" s="2">
        <v>17.57</v>
      </c>
      <c r="D27" s="1">
        <f>AVERAGE(C26:C28)</f>
        <v>17.456666666666667</v>
      </c>
      <c r="E27" s="2">
        <v>30.91</v>
      </c>
      <c r="F27" s="1">
        <f t="shared" ref="F27:F28" si="18">E27-D27</f>
        <v>13.453333333333333</v>
      </c>
      <c r="G27" s="1">
        <f t="shared" si="17"/>
        <v>14.639999999999999</v>
      </c>
      <c r="H27" s="1">
        <f t="shared" ref="H27:H28" si="19">F27-G27</f>
        <v>-1.1866666666666656</v>
      </c>
      <c r="I27" s="16">
        <f t="shared" ref="I27:I28" si="20">POWER(2,-H27)</f>
        <v>2.276262069175643</v>
      </c>
      <c r="J27" s="20"/>
      <c r="M27" s="4"/>
      <c r="N27" s="4"/>
      <c r="O27" s="4"/>
    </row>
    <row r="28" spans="1:16" s="2" customFormat="1" x14ac:dyDescent="0.3">
      <c r="A28" s="2" t="s">
        <v>100</v>
      </c>
      <c r="B28" t="s">
        <v>4</v>
      </c>
      <c r="C28" s="2">
        <v>17.29</v>
      </c>
      <c r="D28" s="1">
        <f>AVERAGE(C26:C28)</f>
        <v>17.456666666666667</v>
      </c>
      <c r="E28" s="2">
        <v>30.36</v>
      </c>
      <c r="F28" s="1">
        <f t="shared" si="18"/>
        <v>12.903333333333332</v>
      </c>
      <c r="G28" s="1">
        <f t="shared" si="17"/>
        <v>14.639999999999999</v>
      </c>
      <c r="H28" s="1">
        <f t="shared" si="19"/>
        <v>-1.7366666666666664</v>
      </c>
      <c r="I28" s="16">
        <f t="shared" si="20"/>
        <v>3.3326427357036521</v>
      </c>
      <c r="J28" s="20"/>
      <c r="M28" s="4"/>
      <c r="N28" s="4"/>
      <c r="O28" s="4"/>
    </row>
    <row r="29" spans="1:16" x14ac:dyDescent="0.3">
      <c r="A29" s="2" t="s">
        <v>112</v>
      </c>
      <c r="B29" t="s">
        <v>4</v>
      </c>
      <c r="C29" s="2">
        <v>17.46</v>
      </c>
      <c r="D29" s="1">
        <f>AVERAGE(C29:C31)</f>
        <v>17.49666666666667</v>
      </c>
      <c r="E29" s="2">
        <v>25.52</v>
      </c>
      <c r="F29" s="1">
        <f>E29-D29</f>
        <v>8.0233333333333299</v>
      </c>
      <c r="G29" s="1">
        <f>AVERAGE(F29:F31)</f>
        <v>8.1833333333333318</v>
      </c>
      <c r="H29" s="1">
        <f>F29-G29</f>
        <v>-0.16000000000000192</v>
      </c>
      <c r="I29" s="16">
        <f>POWER(2,-H29)</f>
        <v>1.1172871380722214</v>
      </c>
      <c r="J29" s="20" t="s">
        <v>105</v>
      </c>
    </row>
    <row r="30" spans="1:16" x14ac:dyDescent="0.3">
      <c r="A30" s="2" t="s">
        <v>112</v>
      </c>
      <c r="B30" t="s">
        <v>4</v>
      </c>
      <c r="C30" s="2">
        <v>17.66</v>
      </c>
      <c r="D30" s="1">
        <f>AVERAGE(C29:C31)</f>
        <v>17.49666666666667</v>
      </c>
      <c r="E30" s="2">
        <v>25.67</v>
      </c>
      <c r="F30" s="1">
        <f t="shared" ref="F30:F34" si="21">E30-D30</f>
        <v>8.173333333333332</v>
      </c>
      <c r="G30" s="1">
        <f>G29</f>
        <v>8.1833333333333318</v>
      </c>
      <c r="H30" s="1">
        <f t="shared" ref="H30:H34" si="22">F30-G30</f>
        <v>-9.9999999999997868E-3</v>
      </c>
      <c r="I30" s="16">
        <f t="shared" ref="I30:I34" si="23">POWER(2,-H30)</f>
        <v>1.0069555500567187</v>
      </c>
      <c r="J30" s="20"/>
    </row>
    <row r="31" spans="1:16" x14ac:dyDescent="0.3">
      <c r="A31" s="2" t="s">
        <v>111</v>
      </c>
      <c r="B31" t="s">
        <v>4</v>
      </c>
      <c r="C31" s="2">
        <v>17.37</v>
      </c>
      <c r="D31" s="1">
        <f>AVERAGE(C29:C31)</f>
        <v>17.49666666666667</v>
      </c>
      <c r="E31" s="2">
        <v>25.85</v>
      </c>
      <c r="F31" s="1">
        <f t="shared" si="21"/>
        <v>8.3533333333333317</v>
      </c>
      <c r="G31" s="1">
        <f t="shared" ref="G31:G37" si="24">G30</f>
        <v>8.1833333333333318</v>
      </c>
      <c r="H31" s="1">
        <f t="shared" si="22"/>
        <v>0.16999999999999993</v>
      </c>
      <c r="I31" s="16">
        <f t="shared" si="23"/>
        <v>0.88884268116657017</v>
      </c>
      <c r="J31" s="20"/>
    </row>
    <row r="32" spans="1:16" ht="15.5" x14ac:dyDescent="0.3">
      <c r="A32" s="5" t="s">
        <v>113</v>
      </c>
      <c r="B32" t="s">
        <v>4</v>
      </c>
      <c r="C32" s="2">
        <v>17.43</v>
      </c>
      <c r="D32" s="1">
        <f>AVERAGE(C32:C34)</f>
        <v>17.543333333333333</v>
      </c>
      <c r="E32" s="2">
        <v>23.74</v>
      </c>
      <c r="F32" s="1">
        <f t="shared" si="21"/>
        <v>6.1966666666666654</v>
      </c>
      <c r="G32" s="1">
        <f t="shared" si="24"/>
        <v>8.1833333333333318</v>
      </c>
      <c r="H32" s="1">
        <f t="shared" si="22"/>
        <v>-1.9866666666666664</v>
      </c>
      <c r="I32" s="16">
        <f t="shared" si="23"/>
        <v>3.9632024530609158</v>
      </c>
      <c r="J32" s="20"/>
    </row>
    <row r="33" spans="1:10" ht="15.5" x14ac:dyDescent="0.3">
      <c r="A33" s="5" t="s">
        <v>113</v>
      </c>
      <c r="B33" t="s">
        <v>4</v>
      </c>
      <c r="C33" s="2">
        <v>17.579999999999998</v>
      </c>
      <c r="D33" s="1">
        <f>AVERAGE(C32:C34)</f>
        <v>17.543333333333333</v>
      </c>
      <c r="E33" s="2">
        <v>23.65</v>
      </c>
      <c r="F33" s="1">
        <f t="shared" si="21"/>
        <v>6.1066666666666656</v>
      </c>
      <c r="G33" s="1">
        <f t="shared" si="24"/>
        <v>8.1833333333333318</v>
      </c>
      <c r="H33" s="1">
        <f t="shared" si="22"/>
        <v>-2.0766666666666662</v>
      </c>
      <c r="I33" s="16">
        <f t="shared" si="23"/>
        <v>4.2183145180640507</v>
      </c>
      <c r="J33" s="20"/>
    </row>
    <row r="34" spans="1:10" ht="15.5" x14ac:dyDescent="0.3">
      <c r="A34" s="5" t="s">
        <v>113</v>
      </c>
      <c r="B34" t="s">
        <v>4</v>
      </c>
      <c r="C34" s="2">
        <v>17.62</v>
      </c>
      <c r="D34" s="1">
        <f>AVERAGE(C32:C34)</f>
        <v>17.543333333333333</v>
      </c>
      <c r="E34" s="2">
        <v>23.65</v>
      </c>
      <c r="F34" s="1">
        <f t="shared" si="21"/>
        <v>6.1066666666666656</v>
      </c>
      <c r="G34" s="1">
        <f t="shared" si="24"/>
        <v>8.1833333333333318</v>
      </c>
      <c r="H34" s="1">
        <f t="shared" si="22"/>
        <v>-2.0766666666666662</v>
      </c>
      <c r="I34" s="16">
        <f t="shared" si="23"/>
        <v>4.2183145180640507</v>
      </c>
      <c r="J34" s="20"/>
    </row>
    <row r="35" spans="1:10" x14ac:dyDescent="0.3">
      <c r="A35" s="2" t="s">
        <v>100</v>
      </c>
      <c r="B35" t="s">
        <v>4</v>
      </c>
      <c r="C35" s="2">
        <v>17.510000000000002</v>
      </c>
      <c r="D35" s="1">
        <f>AVERAGE(C35:C37)</f>
        <v>17.456666666666667</v>
      </c>
      <c r="E35" s="2">
        <v>23.67</v>
      </c>
      <c r="F35" s="1">
        <f>E35-D35</f>
        <v>6.2133333333333347</v>
      </c>
      <c r="G35" s="1">
        <f>G34</f>
        <v>8.1833333333333318</v>
      </c>
      <c r="H35" s="1">
        <f>F35-G35</f>
        <v>-1.9699999999999971</v>
      </c>
      <c r="I35" s="16">
        <f>POWER(2,-H35)</f>
        <v>3.9176811903476998</v>
      </c>
      <c r="J35" s="20"/>
    </row>
    <row r="36" spans="1:10" x14ac:dyDescent="0.3">
      <c r="A36" s="2" t="s">
        <v>100</v>
      </c>
      <c r="B36" t="s">
        <v>4</v>
      </c>
      <c r="C36" s="2">
        <v>17.57</v>
      </c>
      <c r="D36" s="1">
        <f>AVERAGE(C35:C37)</f>
        <v>17.456666666666667</v>
      </c>
      <c r="E36" s="2">
        <v>23.78</v>
      </c>
      <c r="F36" s="1">
        <f t="shared" ref="F36:F37" si="25">E36-D36</f>
        <v>6.3233333333333341</v>
      </c>
      <c r="G36" s="1">
        <f t="shared" si="24"/>
        <v>8.1833333333333318</v>
      </c>
      <c r="H36" s="1">
        <f t="shared" ref="H36:H37" si="26">F36-G36</f>
        <v>-1.8599999999999977</v>
      </c>
      <c r="I36" s="16">
        <f t="shared" ref="I36:I37" si="27">POWER(2,-H36)</f>
        <v>3.6300766212686377</v>
      </c>
      <c r="J36" s="20"/>
    </row>
    <row r="37" spans="1:10" x14ac:dyDescent="0.3">
      <c r="A37" s="2" t="s">
        <v>100</v>
      </c>
      <c r="B37" t="s">
        <v>4</v>
      </c>
      <c r="C37" s="2">
        <v>17.29</v>
      </c>
      <c r="D37" s="1">
        <f>AVERAGE(C35:C37)</f>
        <v>17.456666666666667</v>
      </c>
      <c r="E37" s="2">
        <v>23.68</v>
      </c>
      <c r="F37" s="1">
        <f t="shared" si="25"/>
        <v>6.2233333333333327</v>
      </c>
      <c r="G37" s="1">
        <f t="shared" si="24"/>
        <v>8.1833333333333318</v>
      </c>
      <c r="H37" s="1">
        <f t="shared" si="26"/>
        <v>-1.9599999999999991</v>
      </c>
      <c r="I37" s="16">
        <f t="shared" si="27"/>
        <v>3.8906197896491395</v>
      </c>
      <c r="J37" s="20"/>
    </row>
    <row r="38" spans="1:10" x14ac:dyDescent="0.3">
      <c r="A38" s="2" t="s">
        <v>112</v>
      </c>
      <c r="B38" t="s">
        <v>4</v>
      </c>
      <c r="C38" s="2">
        <v>17.46</v>
      </c>
      <c r="D38" s="1">
        <f>AVERAGE(C38:C40)</f>
        <v>17.49666666666667</v>
      </c>
      <c r="E38" s="2">
        <v>30.06</v>
      </c>
      <c r="F38" s="1">
        <f t="shared" ref="F38:F56" si="28">E38-D38</f>
        <v>12.563333333333329</v>
      </c>
      <c r="G38" s="1">
        <f>AVERAGE(F38:F40)</f>
        <v>12.883333333333331</v>
      </c>
      <c r="H38" s="1">
        <f>F38-G38</f>
        <v>-0.32000000000000206</v>
      </c>
      <c r="I38" s="16">
        <f>POWER(2,-H38)</f>
        <v>1.2483305489016137</v>
      </c>
      <c r="J38" s="20" t="s">
        <v>106</v>
      </c>
    </row>
    <row r="39" spans="1:10" x14ac:dyDescent="0.3">
      <c r="A39" s="2" t="s">
        <v>112</v>
      </c>
      <c r="B39" t="s">
        <v>4</v>
      </c>
      <c r="C39" s="2">
        <v>17.66</v>
      </c>
      <c r="D39" s="1">
        <f>AVERAGE(C38:C40)</f>
        <v>17.49666666666667</v>
      </c>
      <c r="E39" s="2">
        <v>30.49</v>
      </c>
      <c r="F39" s="1">
        <f t="shared" si="28"/>
        <v>12.993333333333329</v>
      </c>
      <c r="G39" s="1">
        <f>G38</f>
        <v>12.883333333333331</v>
      </c>
      <c r="H39" s="1">
        <f t="shared" ref="H39:H43" si="29">F39-G39</f>
        <v>0.10999999999999766</v>
      </c>
      <c r="I39" s="16">
        <f t="shared" ref="I39:I43" si="30">POWER(2,-H39)</f>
        <v>0.92658806189037235</v>
      </c>
      <c r="J39" s="20"/>
    </row>
    <row r="40" spans="1:10" x14ac:dyDescent="0.3">
      <c r="A40" s="2" t="s">
        <v>111</v>
      </c>
      <c r="B40" t="s">
        <v>4</v>
      </c>
      <c r="C40" s="2">
        <v>17.37</v>
      </c>
      <c r="D40" s="1">
        <f>AVERAGE(C38:C40)</f>
        <v>17.49666666666667</v>
      </c>
      <c r="E40" s="2">
        <v>30.59</v>
      </c>
      <c r="F40" s="1">
        <f t="shared" si="28"/>
        <v>13.09333333333333</v>
      </c>
      <c r="G40" s="1">
        <f t="shared" ref="G40:G46" si="31">G39</f>
        <v>12.883333333333331</v>
      </c>
      <c r="H40" s="1">
        <f t="shared" si="29"/>
        <v>0.20999999999999908</v>
      </c>
      <c r="I40" s="16">
        <f t="shared" si="30"/>
        <v>0.86453723130786575</v>
      </c>
      <c r="J40" s="20"/>
    </row>
    <row r="41" spans="1:10" ht="15.5" x14ac:dyDescent="0.3">
      <c r="A41" s="5" t="s">
        <v>113</v>
      </c>
      <c r="B41" t="s">
        <v>4</v>
      </c>
      <c r="C41" s="2">
        <v>17.43</v>
      </c>
      <c r="D41" s="1">
        <f>AVERAGE(C41:C43)</f>
        <v>17.543333333333333</v>
      </c>
      <c r="E41" s="2">
        <v>33.1</v>
      </c>
      <c r="F41" s="1">
        <f t="shared" si="28"/>
        <v>15.556666666666668</v>
      </c>
      <c r="G41" s="1">
        <f t="shared" si="31"/>
        <v>12.883333333333331</v>
      </c>
      <c r="H41" s="1">
        <f t="shared" si="29"/>
        <v>2.6733333333333373</v>
      </c>
      <c r="I41" s="16">
        <f t="shared" si="30"/>
        <v>0.15676405119378223</v>
      </c>
      <c r="J41" s="20"/>
    </row>
    <row r="42" spans="1:10" ht="15.5" x14ac:dyDescent="0.3">
      <c r="A42" s="5" t="s">
        <v>113</v>
      </c>
      <c r="B42" t="s">
        <v>4</v>
      </c>
      <c r="C42" s="2">
        <v>17.579999999999998</v>
      </c>
      <c r="D42" s="1">
        <f>AVERAGE(C41:C43)</f>
        <v>17.543333333333333</v>
      </c>
      <c r="E42" s="2">
        <v>32.92</v>
      </c>
      <c r="F42" s="1">
        <f t="shared" si="28"/>
        <v>15.376666666666669</v>
      </c>
      <c r="G42" s="1">
        <f t="shared" si="31"/>
        <v>12.883333333333331</v>
      </c>
      <c r="H42" s="1">
        <f t="shared" si="29"/>
        <v>2.4933333333333376</v>
      </c>
      <c r="I42" s="16">
        <f t="shared" si="30"/>
        <v>0.17759546739112148</v>
      </c>
      <c r="J42" s="20"/>
    </row>
    <row r="43" spans="1:10" ht="15.5" x14ac:dyDescent="0.3">
      <c r="A43" s="5" t="s">
        <v>113</v>
      </c>
      <c r="B43" t="s">
        <v>4</v>
      </c>
      <c r="C43" s="2">
        <v>17.62</v>
      </c>
      <c r="D43" s="1">
        <f>AVERAGE(C41:C43)</f>
        <v>17.543333333333333</v>
      </c>
      <c r="E43" s="2">
        <v>32.549999999999997</v>
      </c>
      <c r="F43" s="1">
        <f t="shared" si="28"/>
        <v>15.006666666666664</v>
      </c>
      <c r="G43" s="1">
        <f t="shared" si="31"/>
        <v>12.883333333333331</v>
      </c>
      <c r="H43" s="1">
        <f t="shared" si="29"/>
        <v>2.1233333333333331</v>
      </c>
      <c r="I43" s="16">
        <f t="shared" si="30"/>
        <v>0.22951600499130495</v>
      </c>
      <c r="J43" s="20"/>
    </row>
    <row r="44" spans="1:10" x14ac:dyDescent="0.3">
      <c r="A44" s="2" t="s">
        <v>100</v>
      </c>
      <c r="B44" t="s">
        <v>4</v>
      </c>
      <c r="C44" s="2">
        <v>17.510000000000002</v>
      </c>
      <c r="D44" s="1">
        <f>AVERAGE(C44:C46)</f>
        <v>17.456666666666667</v>
      </c>
      <c r="E44" s="2">
        <v>32.4</v>
      </c>
      <c r="F44" s="1">
        <f t="shared" si="28"/>
        <v>14.943333333333332</v>
      </c>
      <c r="G44" s="1">
        <f>G43</f>
        <v>12.883333333333331</v>
      </c>
      <c r="H44" s="1">
        <f>F44-G44</f>
        <v>2.0600000000000005</v>
      </c>
      <c r="I44" s="16">
        <f>POWER(2,-H44)</f>
        <v>0.23981602983131603</v>
      </c>
      <c r="J44" s="20"/>
    </row>
    <row r="45" spans="1:10" x14ac:dyDescent="0.3">
      <c r="A45" s="2" t="s">
        <v>100</v>
      </c>
      <c r="B45" t="s">
        <v>4</v>
      </c>
      <c r="C45" s="2">
        <v>17.57</v>
      </c>
      <c r="D45" s="1">
        <f>AVERAGE(C44:C46)</f>
        <v>17.456666666666667</v>
      </c>
      <c r="E45" s="2">
        <v>33.22</v>
      </c>
      <c r="F45" s="1">
        <f t="shared" si="28"/>
        <v>15.763333333333332</v>
      </c>
      <c r="G45" s="1">
        <f t="shared" si="31"/>
        <v>12.883333333333331</v>
      </c>
      <c r="H45" s="1">
        <f t="shared" ref="H45:H46" si="32">F45-G45</f>
        <v>2.8800000000000008</v>
      </c>
      <c r="I45" s="16">
        <f t="shared" ref="I45:I46" si="33">POWER(2,-H45)</f>
        <v>0.13584185781575722</v>
      </c>
      <c r="J45" s="20"/>
    </row>
    <row r="46" spans="1:10" x14ac:dyDescent="0.3">
      <c r="A46" s="2" t="s">
        <v>100</v>
      </c>
      <c r="B46" t="s">
        <v>4</v>
      </c>
      <c r="C46" s="2">
        <v>17.29</v>
      </c>
      <c r="D46" s="1">
        <f>AVERAGE(C44:C46)</f>
        <v>17.456666666666667</v>
      </c>
      <c r="E46" s="2">
        <v>32.47</v>
      </c>
      <c r="F46" s="1">
        <f t="shared" si="28"/>
        <v>15.013333333333332</v>
      </c>
      <c r="G46" s="1">
        <f t="shared" si="31"/>
        <v>12.883333333333331</v>
      </c>
      <c r="H46" s="1">
        <f t="shared" si="32"/>
        <v>2.1300000000000008</v>
      </c>
      <c r="I46" s="16">
        <f t="shared" si="33"/>
        <v>0.22845786255735001</v>
      </c>
      <c r="J46" s="20"/>
    </row>
    <row r="47" spans="1:10" x14ac:dyDescent="0.3">
      <c r="A47" s="2" t="s">
        <v>112</v>
      </c>
      <c r="B47" t="s">
        <v>4</v>
      </c>
      <c r="C47" s="2">
        <v>17.46</v>
      </c>
      <c r="D47" s="1">
        <f>AVERAGE(C47:C49)</f>
        <v>17.49666666666667</v>
      </c>
      <c r="E47" s="2">
        <v>17.04</v>
      </c>
      <c r="F47" s="1">
        <f t="shared" si="28"/>
        <v>-0.45666666666667055</v>
      </c>
      <c r="G47" s="1">
        <f>AVERAGE(F47:F49)</f>
        <v>-0.54666666666667041</v>
      </c>
      <c r="H47" s="1">
        <f>F47-G47</f>
        <v>8.9999999999999858E-2</v>
      </c>
      <c r="I47" s="16">
        <f>POWER(2,-H47)</f>
        <v>0.93952274921401191</v>
      </c>
      <c r="J47" s="20" t="s">
        <v>107</v>
      </c>
    </row>
    <row r="48" spans="1:10" x14ac:dyDescent="0.3">
      <c r="A48" s="2" t="s">
        <v>112</v>
      </c>
      <c r="B48" t="s">
        <v>4</v>
      </c>
      <c r="C48" s="2">
        <v>17.66</v>
      </c>
      <c r="D48" s="1">
        <f>AVERAGE(C47:C49)</f>
        <v>17.49666666666667</v>
      </c>
      <c r="E48" s="2">
        <v>17.059999999999999</v>
      </c>
      <c r="F48" s="1">
        <f t="shared" si="28"/>
        <v>-0.43666666666667098</v>
      </c>
      <c r="G48" s="1">
        <f>G47</f>
        <v>-0.54666666666667041</v>
      </c>
      <c r="H48" s="1">
        <f t="shared" ref="H48:H52" si="34">F48-G48</f>
        <v>0.10999999999999943</v>
      </c>
      <c r="I48" s="16">
        <f t="shared" ref="I48:I52" si="35">POWER(2,-H48)</f>
        <v>0.92658806189037124</v>
      </c>
      <c r="J48" s="20"/>
    </row>
    <row r="49" spans="1:10" x14ac:dyDescent="0.3">
      <c r="A49" s="2" t="s">
        <v>111</v>
      </c>
      <c r="B49" t="s">
        <v>4</v>
      </c>
      <c r="C49" s="2">
        <v>17.37</v>
      </c>
      <c r="D49" s="1">
        <f>AVERAGE(C47:C49)</f>
        <v>17.49666666666667</v>
      </c>
      <c r="E49" s="2">
        <v>16.75</v>
      </c>
      <c r="F49" s="1">
        <f t="shared" si="28"/>
        <v>-0.7466666666666697</v>
      </c>
      <c r="G49" s="1">
        <f t="shared" ref="G49:G55" si="36">G48</f>
        <v>-0.54666666666667041</v>
      </c>
      <c r="H49" s="1">
        <f t="shared" si="34"/>
        <v>-0.19999999999999929</v>
      </c>
      <c r="I49" s="16">
        <f t="shared" si="35"/>
        <v>1.1486983549970344</v>
      </c>
      <c r="J49" s="20"/>
    </row>
    <row r="50" spans="1:10" ht="15.5" x14ac:dyDescent="0.3">
      <c r="A50" s="5" t="s">
        <v>113</v>
      </c>
      <c r="B50" t="s">
        <v>4</v>
      </c>
      <c r="C50" s="2">
        <v>17.43</v>
      </c>
      <c r="D50" s="1">
        <f>AVERAGE(C50:C52)</f>
        <v>17.543333333333333</v>
      </c>
      <c r="E50" s="2">
        <v>15.61</v>
      </c>
      <c r="F50" s="1">
        <f t="shared" si="28"/>
        <v>-1.9333333333333336</v>
      </c>
      <c r="G50" s="1">
        <f t="shared" si="36"/>
        <v>-0.54666666666667041</v>
      </c>
      <c r="H50" s="1">
        <f t="shared" si="34"/>
        <v>-1.3866666666666632</v>
      </c>
      <c r="I50" s="16">
        <f t="shared" si="35"/>
        <v>2.6147384944042038</v>
      </c>
      <c r="J50" s="20"/>
    </row>
    <row r="51" spans="1:10" ht="15.5" x14ac:dyDescent="0.3">
      <c r="A51" s="5" t="s">
        <v>113</v>
      </c>
      <c r="B51" t="s">
        <v>4</v>
      </c>
      <c r="C51" s="2">
        <v>17.579999999999998</v>
      </c>
      <c r="D51" s="1">
        <f>AVERAGE(C50:C52)</f>
        <v>17.543333333333333</v>
      </c>
      <c r="E51" s="2">
        <v>15.8</v>
      </c>
      <c r="F51" s="1">
        <f t="shared" si="28"/>
        <v>-1.7433333333333323</v>
      </c>
      <c r="G51" s="1">
        <f t="shared" si="36"/>
        <v>-0.54666666666667041</v>
      </c>
      <c r="H51" s="1">
        <f t="shared" si="34"/>
        <v>-1.1966666666666619</v>
      </c>
      <c r="I51" s="16">
        <f t="shared" si="35"/>
        <v>2.2920947239399987</v>
      </c>
      <c r="J51" s="20"/>
    </row>
    <row r="52" spans="1:10" ht="15.5" x14ac:dyDescent="0.3">
      <c r="A52" s="5" t="s">
        <v>113</v>
      </c>
      <c r="B52" t="s">
        <v>4</v>
      </c>
      <c r="C52" s="2">
        <v>17.62</v>
      </c>
      <c r="D52" s="1">
        <f>AVERAGE(C50:C52)</f>
        <v>17.543333333333333</v>
      </c>
      <c r="E52" s="2">
        <v>15.91</v>
      </c>
      <c r="F52" s="1">
        <f t="shared" si="28"/>
        <v>-1.6333333333333329</v>
      </c>
      <c r="G52" s="1">
        <f t="shared" si="36"/>
        <v>-0.54666666666667041</v>
      </c>
      <c r="H52" s="1">
        <f t="shared" si="34"/>
        <v>-1.0866666666666625</v>
      </c>
      <c r="I52" s="16">
        <f t="shared" si="35"/>
        <v>2.1238276079247087</v>
      </c>
      <c r="J52" s="20"/>
    </row>
    <row r="53" spans="1:10" x14ac:dyDescent="0.3">
      <c r="A53" s="2" t="s">
        <v>100</v>
      </c>
      <c r="B53" t="s">
        <v>4</v>
      </c>
      <c r="C53" s="2">
        <v>17.510000000000002</v>
      </c>
      <c r="D53" s="1">
        <f>AVERAGE(C53:C55)</f>
        <v>17.456666666666667</v>
      </c>
      <c r="E53" s="2">
        <v>15.73</v>
      </c>
      <c r="F53" s="1">
        <f t="shared" si="28"/>
        <v>-1.7266666666666666</v>
      </c>
      <c r="G53" s="1">
        <f>G52</f>
        <v>-0.54666666666667041</v>
      </c>
      <c r="H53" s="1">
        <f>F53-G53</f>
        <v>-1.1799999999999962</v>
      </c>
      <c r="I53" s="16">
        <f>POWER(2,-H53)</f>
        <v>2.2657677705915913</v>
      </c>
      <c r="J53" s="20"/>
    </row>
    <row r="54" spans="1:10" x14ac:dyDescent="0.3">
      <c r="A54" s="2" t="s">
        <v>100</v>
      </c>
      <c r="B54" t="s">
        <v>4</v>
      </c>
      <c r="C54" s="2">
        <v>17.57</v>
      </c>
      <c r="D54" s="1">
        <f>AVERAGE(C53:C55)</f>
        <v>17.456666666666667</v>
      </c>
      <c r="E54" s="2">
        <v>15.87</v>
      </c>
      <c r="F54" s="1">
        <f t="shared" si="28"/>
        <v>-1.5866666666666678</v>
      </c>
      <c r="G54" s="1">
        <f t="shared" si="36"/>
        <v>-0.54666666666667041</v>
      </c>
      <c r="H54" s="1">
        <f t="shared" ref="H54:H55" si="37">F54-G54</f>
        <v>-1.0399999999999974</v>
      </c>
      <c r="I54" s="16">
        <f t="shared" ref="I54:I55" si="38">POWER(2,-H54)</f>
        <v>2.0562276533121291</v>
      </c>
      <c r="J54" s="20"/>
    </row>
    <row r="55" spans="1:10" x14ac:dyDescent="0.3">
      <c r="A55" s="2" t="s">
        <v>100</v>
      </c>
      <c r="B55" t="s">
        <v>4</v>
      </c>
      <c r="C55" s="2">
        <v>17.29</v>
      </c>
      <c r="D55" s="1">
        <f>AVERAGE(C53:C55)</f>
        <v>17.456666666666667</v>
      </c>
      <c r="E55" s="2">
        <v>15.71</v>
      </c>
      <c r="F55" s="1">
        <f t="shared" si="28"/>
        <v>-1.7466666666666661</v>
      </c>
      <c r="G55" s="1">
        <f t="shared" si="36"/>
        <v>-0.54666666666667041</v>
      </c>
      <c r="H55" s="1">
        <f t="shared" si="37"/>
        <v>-1.1999999999999957</v>
      </c>
      <c r="I55" s="16">
        <f t="shared" si="38"/>
        <v>2.2973967099940631</v>
      </c>
      <c r="J55" s="20"/>
    </row>
    <row r="56" spans="1:10" x14ac:dyDescent="0.3">
      <c r="A56" s="2" t="s">
        <v>112</v>
      </c>
      <c r="B56" t="s">
        <v>4</v>
      </c>
      <c r="C56" s="2">
        <v>17.46</v>
      </c>
      <c r="D56" s="1">
        <f>AVERAGE(C56:C58)</f>
        <v>17.49666666666667</v>
      </c>
      <c r="E56" s="2">
        <v>22.07</v>
      </c>
      <c r="F56" s="1">
        <f t="shared" si="28"/>
        <v>4.5733333333333306</v>
      </c>
      <c r="G56" s="1">
        <f>AVERAGE(F56:F58)</f>
        <v>4.4866666666666646</v>
      </c>
      <c r="H56" s="1">
        <f>F56-G56</f>
        <v>8.6666666666666003E-2</v>
      </c>
      <c r="I56" s="16">
        <f>POWER(2,-H56)</f>
        <v>0.94169601738734743</v>
      </c>
      <c r="J56" s="20" t="s">
        <v>108</v>
      </c>
    </row>
    <row r="57" spans="1:10" x14ac:dyDescent="0.3">
      <c r="A57" s="2" t="s">
        <v>112</v>
      </c>
      <c r="B57" t="s">
        <v>4</v>
      </c>
      <c r="C57" s="2">
        <v>17.66</v>
      </c>
      <c r="D57" s="1">
        <f>AVERAGE(C56:C58)</f>
        <v>17.49666666666667</v>
      </c>
      <c r="E57" s="2">
        <v>22.01</v>
      </c>
      <c r="F57" s="1">
        <f t="shared" ref="F57:F61" si="39">E57-D57</f>
        <v>4.5133333333333319</v>
      </c>
      <c r="G57" s="1">
        <f>G56</f>
        <v>4.4866666666666646</v>
      </c>
      <c r="H57" s="1">
        <f t="shared" ref="H57:H61" si="40">F57-G57</f>
        <v>2.6666666666667282E-2</v>
      </c>
      <c r="I57" s="16">
        <f t="shared" ref="I57:I61" si="41">POWER(2,-H57)</f>
        <v>0.981685855246754</v>
      </c>
      <c r="J57" s="20"/>
    </row>
    <row r="58" spans="1:10" x14ac:dyDescent="0.3">
      <c r="A58" s="2" t="s">
        <v>111</v>
      </c>
      <c r="B58" t="s">
        <v>4</v>
      </c>
      <c r="C58" s="2">
        <v>17.37</v>
      </c>
      <c r="D58" s="1">
        <f>AVERAGE(C56:C58)</f>
        <v>17.49666666666667</v>
      </c>
      <c r="E58" s="2">
        <v>21.87</v>
      </c>
      <c r="F58" s="1">
        <f t="shared" si="39"/>
        <v>4.3733333333333313</v>
      </c>
      <c r="G58" s="1">
        <f t="shared" ref="G58:G64" si="42">G57</f>
        <v>4.4866666666666646</v>
      </c>
      <c r="H58" s="1">
        <f t="shared" si="40"/>
        <v>-0.11333333333333329</v>
      </c>
      <c r="I58" s="16">
        <f t="shared" si="41"/>
        <v>1.0817246660801048</v>
      </c>
      <c r="J58" s="20"/>
    </row>
    <row r="59" spans="1:10" ht="15.5" x14ac:dyDescent="0.3">
      <c r="A59" s="5" t="s">
        <v>113</v>
      </c>
      <c r="B59" t="s">
        <v>4</v>
      </c>
      <c r="C59" s="2">
        <v>17.43</v>
      </c>
      <c r="D59" s="1">
        <f>AVERAGE(C59:C61)</f>
        <v>17.543333333333333</v>
      </c>
      <c r="E59" s="2">
        <v>20.329999999999998</v>
      </c>
      <c r="F59" s="1">
        <f t="shared" si="39"/>
        <v>2.7866666666666653</v>
      </c>
      <c r="G59" s="1">
        <f t="shared" si="42"/>
        <v>4.4866666666666646</v>
      </c>
      <c r="H59" s="1">
        <f t="shared" si="40"/>
        <v>-1.6999999999999993</v>
      </c>
      <c r="I59" s="16">
        <f t="shared" si="41"/>
        <v>3.2490095854249406</v>
      </c>
      <c r="J59" s="20"/>
    </row>
    <row r="60" spans="1:10" ht="15.5" x14ac:dyDescent="0.3">
      <c r="A60" s="5" t="s">
        <v>113</v>
      </c>
      <c r="B60" t="s">
        <v>4</v>
      </c>
      <c r="C60" s="2">
        <v>17.579999999999998</v>
      </c>
      <c r="D60" s="1">
        <f>AVERAGE(C59:C61)</f>
        <v>17.543333333333333</v>
      </c>
      <c r="E60" s="2">
        <v>20.49</v>
      </c>
      <c r="F60" s="1">
        <f t="shared" si="39"/>
        <v>2.9466666666666654</v>
      </c>
      <c r="G60" s="1">
        <f t="shared" si="42"/>
        <v>4.4866666666666646</v>
      </c>
      <c r="H60" s="1">
        <f t="shared" si="40"/>
        <v>-1.5399999999999991</v>
      </c>
      <c r="I60" s="16">
        <f t="shared" si="41"/>
        <v>2.9079450346406195</v>
      </c>
      <c r="J60" s="20"/>
    </row>
    <row r="61" spans="1:10" ht="15.5" x14ac:dyDescent="0.3">
      <c r="A61" s="5" t="s">
        <v>113</v>
      </c>
      <c r="B61" t="s">
        <v>4</v>
      </c>
      <c r="C61" s="2">
        <v>17.62</v>
      </c>
      <c r="D61" s="1">
        <f>AVERAGE(C59:C61)</f>
        <v>17.543333333333333</v>
      </c>
      <c r="E61" s="2">
        <v>20.420000000000002</v>
      </c>
      <c r="F61" s="1">
        <f t="shared" si="39"/>
        <v>2.8766666666666687</v>
      </c>
      <c r="G61" s="1">
        <f t="shared" si="42"/>
        <v>4.4866666666666646</v>
      </c>
      <c r="H61" s="1">
        <f t="shared" si="40"/>
        <v>-1.6099999999999959</v>
      </c>
      <c r="I61" s="16">
        <f t="shared" si="41"/>
        <v>3.0525184179211093</v>
      </c>
      <c r="J61" s="20"/>
    </row>
    <row r="62" spans="1:10" x14ac:dyDescent="0.3">
      <c r="A62" s="2" t="s">
        <v>101</v>
      </c>
      <c r="B62" t="s">
        <v>4</v>
      </c>
      <c r="C62" s="2">
        <v>17.510000000000002</v>
      </c>
      <c r="D62" s="1">
        <f>AVERAGE(C62:C64)</f>
        <v>17.456666666666667</v>
      </c>
      <c r="E62" s="2">
        <v>20.399999999999999</v>
      </c>
      <c r="F62" s="1">
        <f>E62-D62</f>
        <v>2.9433333333333316</v>
      </c>
      <c r="G62" s="1">
        <f>G61</f>
        <v>4.4866666666666646</v>
      </c>
      <c r="H62" s="1">
        <f>F62-G62</f>
        <v>-1.543333333333333</v>
      </c>
      <c r="I62" s="16">
        <f>POWER(2,-H62)</f>
        <v>2.9146715821338867</v>
      </c>
      <c r="J62" s="20"/>
    </row>
    <row r="63" spans="1:10" x14ac:dyDescent="0.3">
      <c r="A63" s="2" t="s">
        <v>101</v>
      </c>
      <c r="B63" t="s">
        <v>4</v>
      </c>
      <c r="C63" s="2">
        <v>17.57</v>
      </c>
      <c r="D63" s="1">
        <f>AVERAGE(C62:C64)</f>
        <v>17.456666666666667</v>
      </c>
      <c r="E63" s="2">
        <v>20.43</v>
      </c>
      <c r="F63" s="1">
        <f t="shared" ref="F63:F64" si="43">E63-D63</f>
        <v>2.9733333333333327</v>
      </c>
      <c r="G63" s="1">
        <f t="shared" si="42"/>
        <v>4.4866666666666646</v>
      </c>
      <c r="H63" s="1">
        <f t="shared" ref="H63:H64" si="44">F63-G63</f>
        <v>-1.5133333333333319</v>
      </c>
      <c r="I63" s="16">
        <f t="shared" ref="I63:I64" si="45">POWER(2,-H63)</f>
        <v>2.8546885083417282</v>
      </c>
      <c r="J63" s="20"/>
    </row>
    <row r="64" spans="1:10" x14ac:dyDescent="0.3">
      <c r="A64" s="2" t="s">
        <v>100</v>
      </c>
      <c r="B64" t="s">
        <v>4</v>
      </c>
      <c r="C64" s="2">
        <v>17.29</v>
      </c>
      <c r="D64" s="1">
        <f>AVERAGE(C62:C64)</f>
        <v>17.456666666666667</v>
      </c>
      <c r="E64" s="2">
        <v>20.49</v>
      </c>
      <c r="F64" s="1">
        <f t="shared" si="43"/>
        <v>3.0333333333333314</v>
      </c>
      <c r="G64" s="1">
        <f t="shared" si="42"/>
        <v>4.4866666666666646</v>
      </c>
      <c r="H64" s="1">
        <f t="shared" si="44"/>
        <v>-1.4533333333333331</v>
      </c>
      <c r="I64" s="16">
        <f t="shared" si="45"/>
        <v>2.7384002579023834</v>
      </c>
      <c r="J64" s="20"/>
    </row>
    <row r="65" spans="1:10" x14ac:dyDescent="0.3">
      <c r="A65" s="2" t="s">
        <v>112</v>
      </c>
      <c r="B65" t="s">
        <v>4</v>
      </c>
      <c r="C65" s="2">
        <v>17.46</v>
      </c>
      <c r="D65" s="1">
        <f>AVERAGE(C65:C67)</f>
        <v>17.49666666666667</v>
      </c>
      <c r="E65" s="2">
        <v>25.55</v>
      </c>
      <c r="F65" s="1">
        <f>E65-D65</f>
        <v>8.053333333333331</v>
      </c>
      <c r="G65" s="1">
        <f>AVERAGE(F65:F67)</f>
        <v>7.9799999999999978</v>
      </c>
      <c r="H65" s="1">
        <f>F65-G65</f>
        <v>7.333333333333325E-2</v>
      </c>
      <c r="I65" s="16">
        <f>POWER(2,-H65)</f>
        <v>0.95043947771080217</v>
      </c>
      <c r="J65" s="20" t="s">
        <v>109</v>
      </c>
    </row>
    <row r="66" spans="1:10" x14ac:dyDescent="0.3">
      <c r="A66" s="2" t="s">
        <v>112</v>
      </c>
      <c r="B66" t="s">
        <v>4</v>
      </c>
      <c r="C66" s="2">
        <v>17.66</v>
      </c>
      <c r="D66" s="1">
        <f>AVERAGE(C65:C67)</f>
        <v>17.49666666666667</v>
      </c>
      <c r="E66" s="2">
        <v>25.51</v>
      </c>
      <c r="F66" s="1">
        <f t="shared" ref="F66:F70" si="46">E66-D66</f>
        <v>8.0133333333333319</v>
      </c>
      <c r="G66" s="1">
        <f>G65</f>
        <v>7.9799999999999978</v>
      </c>
      <c r="H66" s="1">
        <f t="shared" ref="H66:H70" si="47">F66-G66</f>
        <v>3.3333333333334103E-2</v>
      </c>
      <c r="I66" s="16">
        <f t="shared" ref="I66:I70" si="48">POWER(2,-H66)</f>
        <v>0.97715996843424546</v>
      </c>
      <c r="J66" s="20"/>
    </row>
    <row r="67" spans="1:10" x14ac:dyDescent="0.3">
      <c r="A67" s="2" t="s">
        <v>111</v>
      </c>
      <c r="B67" t="s">
        <v>4</v>
      </c>
      <c r="C67" s="2">
        <v>17.37</v>
      </c>
      <c r="D67" s="1">
        <f>AVERAGE(C65:C67)</f>
        <v>17.49666666666667</v>
      </c>
      <c r="E67" s="2">
        <v>25.37</v>
      </c>
      <c r="F67" s="1">
        <f t="shared" si="46"/>
        <v>7.8733333333333313</v>
      </c>
      <c r="G67" s="1">
        <f t="shared" ref="G67:G73" si="49">G66</f>
        <v>7.9799999999999978</v>
      </c>
      <c r="H67" s="1">
        <f t="shared" si="47"/>
        <v>-0.10666666666666647</v>
      </c>
      <c r="I67" s="16">
        <f t="shared" si="48"/>
        <v>1.0767375682475229</v>
      </c>
      <c r="J67" s="20"/>
    </row>
    <row r="68" spans="1:10" ht="15.5" x14ac:dyDescent="0.3">
      <c r="A68" s="5" t="s">
        <v>113</v>
      </c>
      <c r="B68" t="s">
        <v>4</v>
      </c>
      <c r="C68" s="2">
        <v>17.43</v>
      </c>
      <c r="D68" s="1">
        <f>AVERAGE(C68:C70)</f>
        <v>17.543333333333333</v>
      </c>
      <c r="E68" s="2">
        <v>23.58</v>
      </c>
      <c r="F68" s="1">
        <f t="shared" si="46"/>
        <v>6.0366666666666653</v>
      </c>
      <c r="G68" s="1">
        <f t="shared" si="49"/>
        <v>7.9799999999999978</v>
      </c>
      <c r="H68" s="1">
        <f t="shared" si="47"/>
        <v>-1.9433333333333325</v>
      </c>
      <c r="I68" s="16">
        <f t="shared" si="48"/>
        <v>3.8459322099306097</v>
      </c>
      <c r="J68" s="20"/>
    </row>
    <row r="69" spans="1:10" ht="15.5" x14ac:dyDescent="0.3">
      <c r="A69" s="5" t="s">
        <v>113</v>
      </c>
      <c r="B69" t="s">
        <v>4</v>
      </c>
      <c r="C69" s="2">
        <v>17.579999999999998</v>
      </c>
      <c r="D69" s="1">
        <f>AVERAGE(C68:C70)</f>
        <v>17.543333333333333</v>
      </c>
      <c r="E69" s="2">
        <v>23.72</v>
      </c>
      <c r="F69" s="1">
        <f t="shared" si="46"/>
        <v>6.1766666666666659</v>
      </c>
      <c r="G69" s="1">
        <f t="shared" si="49"/>
        <v>7.9799999999999978</v>
      </c>
      <c r="H69" s="1">
        <f t="shared" si="47"/>
        <v>-1.8033333333333319</v>
      </c>
      <c r="I69" s="16">
        <f t="shared" si="48"/>
        <v>3.4902571505632878</v>
      </c>
      <c r="J69" s="20"/>
    </row>
    <row r="70" spans="1:10" ht="15.5" x14ac:dyDescent="0.3">
      <c r="A70" s="5" t="s">
        <v>113</v>
      </c>
      <c r="B70" t="s">
        <v>4</v>
      </c>
      <c r="C70" s="2">
        <v>17.62</v>
      </c>
      <c r="D70" s="1">
        <f>AVERAGE(C68:C70)</f>
        <v>17.543333333333333</v>
      </c>
      <c r="E70" s="2">
        <v>23.74</v>
      </c>
      <c r="F70" s="1">
        <f t="shared" si="46"/>
        <v>6.1966666666666654</v>
      </c>
      <c r="G70" s="1">
        <f t="shared" si="49"/>
        <v>7.9799999999999978</v>
      </c>
      <c r="H70" s="1">
        <f t="shared" si="47"/>
        <v>-1.7833333333333323</v>
      </c>
      <c r="I70" s="16">
        <f t="shared" si="48"/>
        <v>3.4422057489773175</v>
      </c>
      <c r="J70" s="20"/>
    </row>
    <row r="71" spans="1:10" x14ac:dyDescent="0.3">
      <c r="A71" s="2" t="s">
        <v>101</v>
      </c>
      <c r="B71" t="s">
        <v>4</v>
      </c>
      <c r="C71" s="2">
        <v>17.510000000000002</v>
      </c>
      <c r="D71" s="1">
        <f>AVERAGE(C71:C73)</f>
        <v>17.456666666666667</v>
      </c>
      <c r="E71" s="2">
        <v>23.74</v>
      </c>
      <c r="F71" s="1">
        <f>E71-D71</f>
        <v>6.2833333333333314</v>
      </c>
      <c r="G71" s="1">
        <f>G70</f>
        <v>7.9799999999999978</v>
      </c>
      <c r="H71" s="1">
        <f>F71-G71</f>
        <v>-1.6966666666666663</v>
      </c>
      <c r="I71" s="16">
        <f>POWER(2,-H71)</f>
        <v>3.2415114448397713</v>
      </c>
      <c r="J71" s="20"/>
    </row>
    <row r="72" spans="1:10" x14ac:dyDescent="0.3">
      <c r="A72" s="2" t="s">
        <v>101</v>
      </c>
      <c r="B72" t="s">
        <v>4</v>
      </c>
      <c r="C72" s="2">
        <v>17.57</v>
      </c>
      <c r="D72" s="1">
        <f>AVERAGE(C71:C73)</f>
        <v>17.456666666666667</v>
      </c>
      <c r="E72" s="2">
        <v>23.8</v>
      </c>
      <c r="F72" s="1">
        <f t="shared" ref="F72:F73" si="50">E72-D72</f>
        <v>6.3433333333333337</v>
      </c>
      <c r="G72" s="1">
        <f t="shared" si="49"/>
        <v>7.9799999999999978</v>
      </c>
      <c r="H72" s="1">
        <f t="shared" ref="H72:H73" si="51">F72-G72</f>
        <v>-1.636666666666664</v>
      </c>
      <c r="I72" s="16">
        <f t="shared" ref="I72:I73" si="52">POWER(2,-H72)</f>
        <v>3.1094656214169833</v>
      </c>
      <c r="J72" s="20"/>
    </row>
    <row r="73" spans="1:10" x14ac:dyDescent="0.3">
      <c r="A73" s="2" t="s">
        <v>100</v>
      </c>
      <c r="B73" t="s">
        <v>4</v>
      </c>
      <c r="C73" s="2">
        <v>17.29</v>
      </c>
      <c r="D73" s="1">
        <f>AVERAGE(C71:C73)</f>
        <v>17.456666666666667</v>
      </c>
      <c r="E73" s="2">
        <v>23.57</v>
      </c>
      <c r="F73" s="1">
        <f t="shared" si="50"/>
        <v>6.1133333333333333</v>
      </c>
      <c r="G73" s="1">
        <f t="shared" si="49"/>
        <v>7.9799999999999978</v>
      </c>
      <c r="H73" s="1">
        <f t="shared" si="51"/>
        <v>-1.8666666666666645</v>
      </c>
      <c r="I73" s="16">
        <f t="shared" si="52"/>
        <v>3.6468899542328614</v>
      </c>
      <c r="J73" s="20"/>
    </row>
    <row r="74" spans="1:10" x14ac:dyDescent="0.3">
      <c r="A74" s="2" t="s">
        <v>112</v>
      </c>
      <c r="B74" t="s">
        <v>4</v>
      </c>
      <c r="C74" s="2">
        <v>17.46</v>
      </c>
      <c r="D74" s="1">
        <f>AVERAGE(C74:C76)</f>
        <v>17.49666666666667</v>
      </c>
      <c r="E74" s="2">
        <v>19.66</v>
      </c>
      <c r="F74" s="1">
        <f>E74-D74</f>
        <v>2.1633333333333304</v>
      </c>
      <c r="G74" s="1">
        <f>AVERAGE(F74:F76)</f>
        <v>2.2133333333333312</v>
      </c>
      <c r="H74" s="1">
        <f>F74-G74</f>
        <v>-5.0000000000000711E-2</v>
      </c>
      <c r="I74" s="16">
        <f>POWER(2,-H74)</f>
        <v>1.035264923841378</v>
      </c>
      <c r="J74" s="20" t="s">
        <v>110</v>
      </c>
    </row>
    <row r="75" spans="1:10" x14ac:dyDescent="0.3">
      <c r="A75" s="2" t="s">
        <v>112</v>
      </c>
      <c r="B75" t="s">
        <v>4</v>
      </c>
      <c r="C75" s="2">
        <v>17.66</v>
      </c>
      <c r="D75" s="1">
        <f>AVERAGE(C74:C76)</f>
        <v>17.49666666666667</v>
      </c>
      <c r="E75" s="2">
        <v>19.53</v>
      </c>
      <c r="F75" s="1">
        <f t="shared" ref="F75:F79" si="53">E75-D75</f>
        <v>2.0333333333333314</v>
      </c>
      <c r="G75" s="1">
        <f>G74</f>
        <v>2.2133333333333312</v>
      </c>
      <c r="H75" s="1">
        <f t="shared" ref="H75:H79" si="54">F75-G75</f>
        <v>-0.17999999999999972</v>
      </c>
      <c r="I75" s="16">
        <f t="shared" ref="I75:I79" si="55">POWER(2,-H75)</f>
        <v>1.1328838852957983</v>
      </c>
      <c r="J75" s="20"/>
    </row>
    <row r="76" spans="1:10" x14ac:dyDescent="0.3">
      <c r="A76" s="2" t="s">
        <v>111</v>
      </c>
      <c r="B76" t="s">
        <v>4</v>
      </c>
      <c r="C76" s="2">
        <v>17.37</v>
      </c>
      <c r="D76" s="1">
        <f>AVERAGE(C74:C76)</f>
        <v>17.49666666666667</v>
      </c>
      <c r="E76" s="2">
        <v>19.940000000000001</v>
      </c>
      <c r="F76" s="1">
        <f t="shared" si="53"/>
        <v>2.4433333333333316</v>
      </c>
      <c r="G76" s="1">
        <f t="shared" ref="G76:G82" si="56">G75</f>
        <v>2.2133333333333312</v>
      </c>
      <c r="H76" s="1">
        <f t="shared" si="54"/>
        <v>0.23000000000000043</v>
      </c>
      <c r="I76" s="16">
        <f t="shared" si="55"/>
        <v>0.85263489176795637</v>
      </c>
      <c r="J76" s="20"/>
    </row>
    <row r="77" spans="1:10" ht="15.5" x14ac:dyDescent="0.3">
      <c r="A77" s="5" t="s">
        <v>113</v>
      </c>
      <c r="B77" t="s">
        <v>4</v>
      </c>
      <c r="C77" s="2">
        <v>17.43</v>
      </c>
      <c r="D77" s="1">
        <f>AVERAGE(C77:C79)</f>
        <v>17.543333333333333</v>
      </c>
      <c r="E77" s="2">
        <v>24.02</v>
      </c>
      <c r="F77" s="1">
        <f t="shared" si="53"/>
        <v>6.4766666666666666</v>
      </c>
      <c r="G77" s="1">
        <f t="shared" si="56"/>
        <v>2.2133333333333312</v>
      </c>
      <c r="H77" s="1">
        <f t="shared" si="54"/>
        <v>4.2633333333333354</v>
      </c>
      <c r="I77" s="16">
        <f t="shared" si="55"/>
        <v>5.2072542745369509E-2</v>
      </c>
      <c r="J77" s="20"/>
    </row>
    <row r="78" spans="1:10" ht="15.5" x14ac:dyDescent="0.3">
      <c r="A78" s="5" t="s">
        <v>113</v>
      </c>
      <c r="B78" t="s">
        <v>4</v>
      </c>
      <c r="C78" s="2">
        <v>17.579999999999998</v>
      </c>
      <c r="D78" s="1">
        <f>AVERAGE(C77:C79)</f>
        <v>17.543333333333333</v>
      </c>
      <c r="E78" s="2">
        <v>24.09</v>
      </c>
      <c r="F78" s="1">
        <f t="shared" si="53"/>
        <v>6.5466666666666669</v>
      </c>
      <c r="G78" s="1">
        <f t="shared" si="56"/>
        <v>2.2133333333333312</v>
      </c>
      <c r="H78" s="1">
        <f t="shared" si="54"/>
        <v>4.3333333333333357</v>
      </c>
      <c r="I78" s="16">
        <f t="shared" si="55"/>
        <v>4.9606282874006161E-2</v>
      </c>
      <c r="J78" s="20"/>
    </row>
    <row r="79" spans="1:10" ht="15.5" x14ac:dyDescent="0.3">
      <c r="A79" s="5" t="s">
        <v>113</v>
      </c>
      <c r="B79" t="s">
        <v>4</v>
      </c>
      <c r="C79" s="2">
        <v>17.62</v>
      </c>
      <c r="D79" s="1">
        <f>AVERAGE(C77:C79)</f>
        <v>17.543333333333333</v>
      </c>
      <c r="E79" s="2">
        <v>24.2</v>
      </c>
      <c r="F79" s="1">
        <f t="shared" si="53"/>
        <v>6.6566666666666663</v>
      </c>
      <c r="G79" s="1">
        <f t="shared" si="56"/>
        <v>2.2133333333333312</v>
      </c>
      <c r="H79" s="1">
        <f t="shared" si="54"/>
        <v>4.4433333333333351</v>
      </c>
      <c r="I79" s="16">
        <f t="shared" si="55"/>
        <v>4.5964589505810872E-2</v>
      </c>
      <c r="J79" s="20"/>
    </row>
    <row r="80" spans="1:10" x14ac:dyDescent="0.3">
      <c r="A80" s="2" t="s">
        <v>101</v>
      </c>
      <c r="B80" t="s">
        <v>4</v>
      </c>
      <c r="C80" s="2">
        <v>17.510000000000002</v>
      </c>
      <c r="D80" s="1">
        <f>AVERAGE(C80:C82)</f>
        <v>17.456666666666667</v>
      </c>
      <c r="E80" s="2">
        <v>23</v>
      </c>
      <c r="F80" s="1">
        <f>E80-D80</f>
        <v>5.543333333333333</v>
      </c>
      <c r="G80" s="1">
        <f>G79</f>
        <v>2.2133333333333312</v>
      </c>
      <c r="H80" s="1">
        <f>F80-G80</f>
        <v>3.3300000000000018</v>
      </c>
      <c r="I80" s="16">
        <f>POWER(2,-H80)</f>
        <v>9.9442060469364726E-2</v>
      </c>
      <c r="J80" s="20"/>
    </row>
    <row r="81" spans="1:10" x14ac:dyDescent="0.3">
      <c r="A81" s="2" t="s">
        <v>101</v>
      </c>
      <c r="B81" t="s">
        <v>4</v>
      </c>
      <c r="C81" s="2">
        <v>17.57</v>
      </c>
      <c r="D81" s="1">
        <f>AVERAGE(C80:C82)</f>
        <v>17.456666666666667</v>
      </c>
      <c r="E81" s="2">
        <v>23.13</v>
      </c>
      <c r="F81" s="1">
        <f t="shared" ref="F81:F82" si="57">E81-D81</f>
        <v>5.673333333333332</v>
      </c>
      <c r="G81" s="1">
        <f t="shared" si="56"/>
        <v>2.2133333333333312</v>
      </c>
      <c r="H81" s="1">
        <f t="shared" ref="H81:H82" si="58">F81-G81</f>
        <v>3.4600000000000009</v>
      </c>
      <c r="I81" s="16">
        <f t="shared" ref="I81:I82" si="59">POWER(2,-H81)</f>
        <v>9.0873282332519359E-2</v>
      </c>
      <c r="J81" s="20"/>
    </row>
    <row r="82" spans="1:10" x14ac:dyDescent="0.3">
      <c r="A82" s="2" t="s">
        <v>100</v>
      </c>
      <c r="B82" t="s">
        <v>4</v>
      </c>
      <c r="C82" s="2">
        <v>17.29</v>
      </c>
      <c r="D82" s="1">
        <f>AVERAGE(C80:C82)</f>
        <v>17.456666666666667</v>
      </c>
      <c r="E82" s="2">
        <v>23.09</v>
      </c>
      <c r="F82" s="1">
        <f t="shared" si="57"/>
        <v>5.6333333333333329</v>
      </c>
      <c r="G82" s="1">
        <f t="shared" si="56"/>
        <v>2.2133333333333312</v>
      </c>
      <c r="H82" s="1">
        <f t="shared" si="58"/>
        <v>3.4200000000000017</v>
      </c>
      <c r="I82" s="16">
        <f t="shared" si="59"/>
        <v>9.3428078039683532E-2</v>
      </c>
      <c r="J82" s="20"/>
    </row>
  </sheetData>
  <mergeCells count="9">
    <mergeCell ref="J56:J64"/>
    <mergeCell ref="J65:J73"/>
    <mergeCell ref="J74:J82"/>
    <mergeCell ref="J47:J55"/>
    <mergeCell ref="J2:J10"/>
    <mergeCell ref="J11:J19"/>
    <mergeCell ref="J20:J28"/>
    <mergeCell ref="J29:J37"/>
    <mergeCell ref="J38:J4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BF35-B93B-4E18-A0FB-EA84F5469F26}">
  <dimension ref="A1:F91"/>
  <sheetViews>
    <sheetView workbookViewId="0">
      <selection activeCell="H30" sqref="H30"/>
    </sheetView>
  </sheetViews>
  <sheetFormatPr defaultRowHeight="14" x14ac:dyDescent="0.3"/>
  <sheetData>
    <row r="1" spans="1:6" s="2" customFormat="1" x14ac:dyDescent="0.3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</row>
    <row r="2" spans="1:6" s="2" customFormat="1" x14ac:dyDescent="0.3">
      <c r="A2" s="2" t="s">
        <v>5</v>
      </c>
      <c r="B2" s="2" t="s">
        <v>6</v>
      </c>
      <c r="C2">
        <v>23.41</v>
      </c>
      <c r="D2" s="2">
        <v>86.5</v>
      </c>
      <c r="E2" s="2" t="s">
        <v>102</v>
      </c>
      <c r="F2" s="2" t="s">
        <v>111</v>
      </c>
    </row>
    <row r="3" spans="1:6" s="2" customFormat="1" x14ac:dyDescent="0.3">
      <c r="A3" s="2" t="s">
        <v>7</v>
      </c>
      <c r="B3" s="2" t="s">
        <v>6</v>
      </c>
      <c r="C3">
        <v>23.49</v>
      </c>
      <c r="D3" s="2">
        <v>86</v>
      </c>
      <c r="E3" s="2" t="s">
        <v>102</v>
      </c>
      <c r="F3" s="2" t="s">
        <v>111</v>
      </c>
    </row>
    <row r="4" spans="1:6" s="2" customFormat="1" x14ac:dyDescent="0.3">
      <c r="A4" s="2" t="s">
        <v>8</v>
      </c>
      <c r="B4" s="2" t="s">
        <v>6</v>
      </c>
      <c r="C4">
        <v>23.51</v>
      </c>
      <c r="D4" s="2">
        <v>86</v>
      </c>
      <c r="E4" s="2" t="s">
        <v>142</v>
      </c>
      <c r="F4" s="2" t="s">
        <v>111</v>
      </c>
    </row>
    <row r="5" spans="1:6" s="2" customFormat="1" ht="15.5" x14ac:dyDescent="0.3">
      <c r="A5" s="2" t="s">
        <v>9</v>
      </c>
      <c r="B5" s="2" t="s">
        <v>6</v>
      </c>
      <c r="C5">
        <v>21.34</v>
      </c>
      <c r="D5" s="2">
        <v>78.5</v>
      </c>
      <c r="E5" s="2" t="s">
        <v>142</v>
      </c>
      <c r="F5" s="5" t="s">
        <v>113</v>
      </c>
    </row>
    <row r="6" spans="1:6" s="2" customFormat="1" ht="15.5" x14ac:dyDescent="0.3">
      <c r="A6" s="2" t="s">
        <v>10</v>
      </c>
      <c r="B6" s="2" t="s">
        <v>6</v>
      </c>
      <c r="C6">
        <v>21.28</v>
      </c>
      <c r="D6" s="2">
        <v>78.5</v>
      </c>
      <c r="E6" s="2" t="s">
        <v>142</v>
      </c>
      <c r="F6" s="5" t="s">
        <v>113</v>
      </c>
    </row>
    <row r="7" spans="1:6" s="2" customFormat="1" ht="15.5" x14ac:dyDescent="0.3">
      <c r="A7" s="2" t="s">
        <v>11</v>
      </c>
      <c r="B7" s="2" t="s">
        <v>6</v>
      </c>
      <c r="C7">
        <v>21.32</v>
      </c>
      <c r="D7" s="2">
        <v>78.5</v>
      </c>
      <c r="E7" s="2" t="s">
        <v>142</v>
      </c>
      <c r="F7" s="5" t="s">
        <v>113</v>
      </c>
    </row>
    <row r="8" spans="1:6" s="2" customFormat="1" x14ac:dyDescent="0.3">
      <c r="A8" s="2" t="s">
        <v>12</v>
      </c>
      <c r="B8" s="2" t="s">
        <v>6</v>
      </c>
      <c r="C8">
        <v>21.23</v>
      </c>
      <c r="D8" s="2">
        <v>78.5</v>
      </c>
      <c r="E8" s="2" t="s">
        <v>142</v>
      </c>
      <c r="F8" s="2" t="s">
        <v>100</v>
      </c>
    </row>
    <row r="9" spans="1:6" s="2" customFormat="1" x14ac:dyDescent="0.3">
      <c r="A9" s="2" t="s">
        <v>13</v>
      </c>
      <c r="B9" s="2" t="s">
        <v>6</v>
      </c>
      <c r="C9">
        <v>21.27</v>
      </c>
      <c r="D9" s="2">
        <v>78.5</v>
      </c>
      <c r="E9" s="2" t="s">
        <v>142</v>
      </c>
      <c r="F9" s="2" t="s">
        <v>100</v>
      </c>
    </row>
    <row r="10" spans="1:6" s="2" customFormat="1" x14ac:dyDescent="0.3">
      <c r="A10" s="2" t="s">
        <v>14</v>
      </c>
      <c r="B10" s="2" t="s">
        <v>6</v>
      </c>
      <c r="C10">
        <v>21.28</v>
      </c>
      <c r="D10" s="2">
        <v>78.5</v>
      </c>
      <c r="E10" s="2" t="s">
        <v>142</v>
      </c>
      <c r="F10" s="2" t="s">
        <v>100</v>
      </c>
    </row>
    <row r="11" spans="1:6" s="2" customFormat="1" x14ac:dyDescent="0.3">
      <c r="A11" s="2" t="s">
        <v>15</v>
      </c>
      <c r="B11" s="2" t="s">
        <v>6</v>
      </c>
      <c r="C11">
        <v>33.75</v>
      </c>
      <c r="D11" s="2">
        <v>80</v>
      </c>
      <c r="E11" s="2" t="s">
        <v>103</v>
      </c>
      <c r="F11" s="2" t="s">
        <v>111</v>
      </c>
    </row>
    <row r="12" spans="1:6" s="2" customFormat="1" x14ac:dyDescent="0.3">
      <c r="A12" s="2" t="s">
        <v>16</v>
      </c>
      <c r="B12" s="2" t="s">
        <v>6</v>
      </c>
      <c r="C12">
        <v>34.130000000000003</v>
      </c>
      <c r="D12" s="2">
        <v>80.5</v>
      </c>
      <c r="E12" s="2" t="s">
        <v>103</v>
      </c>
      <c r="F12" s="2" t="s">
        <v>111</v>
      </c>
    </row>
    <row r="13" spans="1:6" s="2" customFormat="1" x14ac:dyDescent="0.3">
      <c r="A13" s="2" t="s">
        <v>17</v>
      </c>
      <c r="B13" s="2" t="s">
        <v>6</v>
      </c>
      <c r="C13">
        <v>34.06</v>
      </c>
      <c r="D13" s="2">
        <v>79.5</v>
      </c>
      <c r="E13" s="2" t="s">
        <v>103</v>
      </c>
      <c r="F13" s="2" t="s">
        <v>111</v>
      </c>
    </row>
    <row r="14" spans="1:6" s="2" customFormat="1" ht="15.5" x14ac:dyDescent="0.3">
      <c r="A14" s="2" t="s">
        <v>18</v>
      </c>
      <c r="B14" s="2" t="s">
        <v>6</v>
      </c>
      <c r="C14">
        <v>31.61</v>
      </c>
      <c r="D14" s="2">
        <v>87</v>
      </c>
      <c r="E14" s="2" t="s">
        <v>103</v>
      </c>
      <c r="F14" s="5" t="s">
        <v>113</v>
      </c>
    </row>
    <row r="15" spans="1:6" s="2" customFormat="1" ht="15.5" x14ac:dyDescent="0.3">
      <c r="A15" s="2" t="s">
        <v>19</v>
      </c>
      <c r="B15" s="2" t="s">
        <v>6</v>
      </c>
      <c r="C15">
        <v>32.25</v>
      </c>
      <c r="D15" s="2">
        <v>87</v>
      </c>
      <c r="E15" s="2" t="s">
        <v>103</v>
      </c>
      <c r="F15" s="5" t="s">
        <v>113</v>
      </c>
    </row>
    <row r="16" spans="1:6" s="2" customFormat="1" ht="15.5" x14ac:dyDescent="0.3">
      <c r="A16" s="2" t="s">
        <v>20</v>
      </c>
      <c r="B16" s="2" t="s">
        <v>6</v>
      </c>
      <c r="C16">
        <v>31.86</v>
      </c>
      <c r="D16" s="2">
        <v>84</v>
      </c>
      <c r="E16" s="2" t="s">
        <v>103</v>
      </c>
      <c r="F16" s="5" t="s">
        <v>113</v>
      </c>
    </row>
    <row r="17" spans="1:6" s="2" customFormat="1" x14ac:dyDescent="0.3">
      <c r="A17" s="2" t="s">
        <v>21</v>
      </c>
      <c r="B17" s="2" t="s">
        <v>6</v>
      </c>
      <c r="C17">
        <v>32.020000000000003</v>
      </c>
      <c r="D17" s="2">
        <v>87</v>
      </c>
      <c r="E17" s="2" t="s">
        <v>103</v>
      </c>
      <c r="F17" s="2" t="s">
        <v>100</v>
      </c>
    </row>
    <row r="18" spans="1:6" s="2" customFormat="1" x14ac:dyDescent="0.3">
      <c r="A18" s="2" t="s">
        <v>22</v>
      </c>
      <c r="B18" s="2" t="s">
        <v>6</v>
      </c>
      <c r="C18">
        <v>31.59</v>
      </c>
      <c r="D18" s="2">
        <v>87</v>
      </c>
      <c r="E18" s="2" t="s">
        <v>103</v>
      </c>
      <c r="F18" s="2" t="s">
        <v>100</v>
      </c>
    </row>
    <row r="19" spans="1:6" s="2" customFormat="1" x14ac:dyDescent="0.3">
      <c r="A19" s="2" t="s">
        <v>23</v>
      </c>
      <c r="B19" s="2" t="s">
        <v>6</v>
      </c>
      <c r="C19">
        <v>31.37</v>
      </c>
      <c r="D19" s="2">
        <v>87</v>
      </c>
      <c r="E19" s="2" t="s">
        <v>103</v>
      </c>
      <c r="F19" s="2" t="s">
        <v>100</v>
      </c>
    </row>
    <row r="20" spans="1:6" s="2" customFormat="1" x14ac:dyDescent="0.3">
      <c r="A20" s="2" t="s">
        <v>24</v>
      </c>
      <c r="B20" s="2" t="s">
        <v>6</v>
      </c>
      <c r="C20">
        <v>32.090000000000003</v>
      </c>
      <c r="D20" s="2">
        <v>75.5</v>
      </c>
      <c r="E20" s="2" t="s">
        <v>104</v>
      </c>
      <c r="F20" s="2" t="s">
        <v>111</v>
      </c>
    </row>
    <row r="21" spans="1:6" s="2" customFormat="1" x14ac:dyDescent="0.3">
      <c r="A21" s="2" t="s">
        <v>25</v>
      </c>
      <c r="B21" s="2" t="s">
        <v>6</v>
      </c>
      <c r="C21">
        <v>31.82</v>
      </c>
      <c r="D21" s="2">
        <v>75.5</v>
      </c>
      <c r="E21" s="2" t="s">
        <v>104</v>
      </c>
      <c r="F21" s="2" t="s">
        <v>111</v>
      </c>
    </row>
    <row r="22" spans="1:6" s="2" customFormat="1" x14ac:dyDescent="0.3">
      <c r="A22" s="2" t="s">
        <v>26</v>
      </c>
      <c r="B22" s="2" t="s">
        <v>6</v>
      </c>
      <c r="C22">
        <v>32.5</v>
      </c>
      <c r="D22" s="2">
        <v>76</v>
      </c>
      <c r="E22" s="2" t="s">
        <v>143</v>
      </c>
      <c r="F22" s="2" t="s">
        <v>111</v>
      </c>
    </row>
    <row r="23" spans="1:6" s="2" customFormat="1" ht="15.5" x14ac:dyDescent="0.3">
      <c r="A23" s="2" t="s">
        <v>27</v>
      </c>
      <c r="B23" s="2" t="s">
        <v>6</v>
      </c>
      <c r="C23">
        <v>31.07</v>
      </c>
      <c r="D23" s="2">
        <v>86.5</v>
      </c>
      <c r="E23" s="2" t="s">
        <v>143</v>
      </c>
      <c r="F23" s="5" t="s">
        <v>113</v>
      </c>
    </row>
    <row r="24" spans="1:6" s="2" customFormat="1" ht="15.5" x14ac:dyDescent="0.3">
      <c r="A24" s="2" t="s">
        <v>28</v>
      </c>
      <c r="B24" s="2" t="s">
        <v>6</v>
      </c>
      <c r="C24">
        <v>31.11</v>
      </c>
      <c r="D24" s="2">
        <v>87</v>
      </c>
      <c r="E24" s="2" t="s">
        <v>143</v>
      </c>
      <c r="F24" s="5" t="s">
        <v>113</v>
      </c>
    </row>
    <row r="25" spans="1:6" s="2" customFormat="1" ht="15.5" x14ac:dyDescent="0.3">
      <c r="A25" s="2" t="s">
        <v>29</v>
      </c>
      <c r="B25" s="2" t="s">
        <v>6</v>
      </c>
      <c r="C25">
        <v>31.02</v>
      </c>
      <c r="D25" s="2">
        <v>86.5</v>
      </c>
      <c r="E25" s="2" t="s">
        <v>143</v>
      </c>
      <c r="F25" s="5" t="s">
        <v>113</v>
      </c>
    </row>
    <row r="26" spans="1:6" s="2" customFormat="1" x14ac:dyDescent="0.3">
      <c r="A26" s="2" t="s">
        <v>30</v>
      </c>
      <c r="B26" s="2" t="s">
        <v>6</v>
      </c>
      <c r="C26">
        <v>30.98</v>
      </c>
      <c r="D26" s="2">
        <v>78.5</v>
      </c>
      <c r="E26" s="2" t="s">
        <v>143</v>
      </c>
      <c r="F26" s="2" t="s">
        <v>100</v>
      </c>
    </row>
    <row r="27" spans="1:6" s="2" customFormat="1" x14ac:dyDescent="0.3">
      <c r="A27" s="2" t="s">
        <v>31</v>
      </c>
      <c r="B27" s="2" t="s">
        <v>6</v>
      </c>
      <c r="C27">
        <v>30.91</v>
      </c>
      <c r="D27" s="2">
        <v>78.5</v>
      </c>
      <c r="E27" s="2" t="s">
        <v>143</v>
      </c>
      <c r="F27" s="2" t="s">
        <v>100</v>
      </c>
    </row>
    <row r="28" spans="1:6" s="2" customFormat="1" x14ac:dyDescent="0.3">
      <c r="A28" s="2" t="s">
        <v>32</v>
      </c>
      <c r="B28" s="2" t="s">
        <v>6</v>
      </c>
      <c r="C28">
        <v>30.36</v>
      </c>
      <c r="D28" s="2">
        <v>78.5</v>
      </c>
      <c r="E28" s="2" t="s">
        <v>143</v>
      </c>
      <c r="F28" s="2" t="s">
        <v>100</v>
      </c>
    </row>
    <row r="29" spans="1:6" s="2" customFormat="1" x14ac:dyDescent="0.3">
      <c r="A29" s="2" t="s">
        <v>33</v>
      </c>
      <c r="B29" s="2" t="s">
        <v>6</v>
      </c>
      <c r="C29">
        <v>25.52</v>
      </c>
      <c r="D29">
        <v>82.5</v>
      </c>
      <c r="E29" t="s">
        <v>105</v>
      </c>
      <c r="F29" s="2" t="s">
        <v>111</v>
      </c>
    </row>
    <row r="30" spans="1:6" s="2" customFormat="1" x14ac:dyDescent="0.3">
      <c r="A30" s="2" t="s">
        <v>34</v>
      </c>
      <c r="B30" s="2" t="s">
        <v>6</v>
      </c>
      <c r="C30">
        <v>25.67</v>
      </c>
      <c r="D30">
        <v>82.5</v>
      </c>
      <c r="E30" t="s">
        <v>105</v>
      </c>
      <c r="F30" s="2" t="s">
        <v>111</v>
      </c>
    </row>
    <row r="31" spans="1:6" s="2" customFormat="1" x14ac:dyDescent="0.3">
      <c r="A31" s="2" t="s">
        <v>35</v>
      </c>
      <c r="B31" s="2" t="s">
        <v>6</v>
      </c>
      <c r="C31">
        <v>25.85</v>
      </c>
      <c r="D31">
        <v>82.5</v>
      </c>
      <c r="E31" t="s">
        <v>144</v>
      </c>
      <c r="F31" s="2" t="s">
        <v>111</v>
      </c>
    </row>
    <row r="32" spans="1:6" ht="15.5" x14ac:dyDescent="0.3">
      <c r="A32" s="2" t="s">
        <v>44</v>
      </c>
      <c r="B32" s="2" t="s">
        <v>6</v>
      </c>
      <c r="C32">
        <v>23.74</v>
      </c>
      <c r="D32">
        <v>86.5</v>
      </c>
      <c r="E32" t="s">
        <v>144</v>
      </c>
      <c r="F32" s="5" t="s">
        <v>113</v>
      </c>
    </row>
    <row r="33" spans="1:6" ht="15.5" x14ac:dyDescent="0.3">
      <c r="A33" s="2" t="s">
        <v>45</v>
      </c>
      <c r="B33" s="2" t="s">
        <v>6</v>
      </c>
      <c r="C33">
        <v>23.65</v>
      </c>
      <c r="D33">
        <v>86</v>
      </c>
      <c r="E33" t="s">
        <v>144</v>
      </c>
      <c r="F33" s="5" t="s">
        <v>113</v>
      </c>
    </row>
    <row r="34" spans="1:6" ht="15.5" x14ac:dyDescent="0.3">
      <c r="A34" s="2" t="s">
        <v>46</v>
      </c>
      <c r="B34" s="2" t="s">
        <v>6</v>
      </c>
      <c r="C34">
        <v>23.65</v>
      </c>
      <c r="D34">
        <v>86</v>
      </c>
      <c r="E34" t="s">
        <v>144</v>
      </c>
      <c r="F34" s="5" t="s">
        <v>113</v>
      </c>
    </row>
    <row r="35" spans="1:6" x14ac:dyDescent="0.3">
      <c r="A35" s="2" t="s">
        <v>47</v>
      </c>
      <c r="B35" s="2" t="s">
        <v>6</v>
      </c>
      <c r="C35">
        <v>23.67</v>
      </c>
      <c r="D35">
        <v>86</v>
      </c>
      <c r="E35" t="s">
        <v>144</v>
      </c>
      <c r="F35" s="2" t="s">
        <v>100</v>
      </c>
    </row>
    <row r="36" spans="1:6" x14ac:dyDescent="0.3">
      <c r="A36" s="2" t="s">
        <v>48</v>
      </c>
      <c r="B36" s="2" t="s">
        <v>6</v>
      </c>
      <c r="C36">
        <v>23.78</v>
      </c>
      <c r="D36">
        <v>86</v>
      </c>
      <c r="E36" t="s">
        <v>144</v>
      </c>
      <c r="F36" s="2" t="s">
        <v>100</v>
      </c>
    </row>
    <row r="37" spans="1:6" x14ac:dyDescent="0.3">
      <c r="A37" s="2" t="s">
        <v>49</v>
      </c>
      <c r="B37" s="2" t="s">
        <v>6</v>
      </c>
      <c r="C37">
        <v>23.68</v>
      </c>
      <c r="D37">
        <v>86</v>
      </c>
      <c r="E37" t="s">
        <v>144</v>
      </c>
      <c r="F37" s="2" t="s">
        <v>100</v>
      </c>
    </row>
    <row r="38" spans="1:6" x14ac:dyDescent="0.3">
      <c r="A38" s="2" t="s">
        <v>72</v>
      </c>
      <c r="B38" s="2" t="s">
        <v>6</v>
      </c>
      <c r="C38">
        <v>30.06</v>
      </c>
      <c r="D38">
        <v>76.5</v>
      </c>
      <c r="E38" t="s">
        <v>106</v>
      </c>
      <c r="F38" t="s">
        <v>111</v>
      </c>
    </row>
    <row r="39" spans="1:6" x14ac:dyDescent="0.3">
      <c r="A39" s="2" t="s">
        <v>73</v>
      </c>
      <c r="B39" s="2" t="s">
        <v>6</v>
      </c>
      <c r="C39">
        <v>30.49</v>
      </c>
      <c r="D39">
        <v>76.5</v>
      </c>
      <c r="E39" t="s">
        <v>106</v>
      </c>
      <c r="F39" t="s">
        <v>111</v>
      </c>
    </row>
    <row r="40" spans="1:6" x14ac:dyDescent="0.3">
      <c r="A40" s="2" t="s">
        <v>74</v>
      </c>
      <c r="B40" s="2" t="s">
        <v>6</v>
      </c>
      <c r="C40">
        <v>30.59</v>
      </c>
      <c r="D40">
        <v>76</v>
      </c>
      <c r="E40" t="s">
        <v>145</v>
      </c>
      <c r="F40" t="s">
        <v>111</v>
      </c>
    </row>
    <row r="41" spans="1:6" x14ac:dyDescent="0.3">
      <c r="A41" s="2" t="s">
        <v>75</v>
      </c>
      <c r="B41" s="2" t="s">
        <v>6</v>
      </c>
      <c r="C41">
        <v>33.1</v>
      </c>
      <c r="D41">
        <v>76.5</v>
      </c>
      <c r="E41" t="s">
        <v>145</v>
      </c>
      <c r="F41" t="s">
        <v>113</v>
      </c>
    </row>
    <row r="42" spans="1:6" x14ac:dyDescent="0.3">
      <c r="A42" s="2" t="s">
        <v>76</v>
      </c>
      <c r="B42" s="2" t="s">
        <v>6</v>
      </c>
      <c r="C42">
        <v>32.92</v>
      </c>
      <c r="D42">
        <v>76.5</v>
      </c>
      <c r="E42" t="s">
        <v>145</v>
      </c>
      <c r="F42" t="s">
        <v>113</v>
      </c>
    </row>
    <row r="43" spans="1:6" x14ac:dyDescent="0.3">
      <c r="A43" s="2" t="s">
        <v>77</v>
      </c>
      <c r="B43" s="2" t="s">
        <v>6</v>
      </c>
      <c r="C43">
        <v>32.549999999999997</v>
      </c>
      <c r="D43">
        <v>76.5</v>
      </c>
      <c r="E43" t="s">
        <v>145</v>
      </c>
      <c r="F43" t="s">
        <v>113</v>
      </c>
    </row>
    <row r="44" spans="1:6" x14ac:dyDescent="0.3">
      <c r="A44" s="2" t="s">
        <v>78</v>
      </c>
      <c r="B44" s="2" t="s">
        <v>6</v>
      </c>
      <c r="C44">
        <v>32.4</v>
      </c>
      <c r="D44">
        <v>76.5</v>
      </c>
      <c r="E44" t="s">
        <v>145</v>
      </c>
      <c r="F44" t="s">
        <v>100</v>
      </c>
    </row>
    <row r="45" spans="1:6" x14ac:dyDescent="0.3">
      <c r="A45" s="2" t="s">
        <v>79</v>
      </c>
      <c r="B45" s="2" t="s">
        <v>6</v>
      </c>
      <c r="C45">
        <v>33.22</v>
      </c>
      <c r="D45">
        <v>76</v>
      </c>
      <c r="E45" t="s">
        <v>145</v>
      </c>
      <c r="F45" t="s">
        <v>100</v>
      </c>
    </row>
    <row r="46" spans="1:6" x14ac:dyDescent="0.3">
      <c r="A46" s="2" t="s">
        <v>80</v>
      </c>
      <c r="B46" s="2" t="s">
        <v>6</v>
      </c>
      <c r="C46">
        <v>32.47</v>
      </c>
      <c r="D46">
        <v>76</v>
      </c>
      <c r="E46" t="s">
        <v>145</v>
      </c>
      <c r="F46" t="s">
        <v>100</v>
      </c>
    </row>
    <row r="47" spans="1:6" x14ac:dyDescent="0.3">
      <c r="A47" s="2" t="s">
        <v>81</v>
      </c>
      <c r="B47" s="2" t="s">
        <v>6</v>
      </c>
      <c r="C47">
        <v>17.04</v>
      </c>
      <c r="D47">
        <v>87.5</v>
      </c>
      <c r="E47" t="s">
        <v>107</v>
      </c>
      <c r="F47" t="s">
        <v>111</v>
      </c>
    </row>
    <row r="48" spans="1:6" x14ac:dyDescent="0.3">
      <c r="A48" s="2" t="s">
        <v>82</v>
      </c>
      <c r="B48" s="2" t="s">
        <v>6</v>
      </c>
      <c r="C48">
        <v>17.059999999999999</v>
      </c>
      <c r="D48">
        <v>87.5</v>
      </c>
      <c r="E48" t="s">
        <v>107</v>
      </c>
      <c r="F48" t="s">
        <v>111</v>
      </c>
    </row>
    <row r="49" spans="1:6" x14ac:dyDescent="0.3">
      <c r="A49" s="2" t="s">
        <v>83</v>
      </c>
      <c r="B49" s="2" t="s">
        <v>6</v>
      </c>
      <c r="C49">
        <v>16.75</v>
      </c>
      <c r="D49">
        <v>87.5</v>
      </c>
      <c r="E49" t="s">
        <v>146</v>
      </c>
      <c r="F49" t="s">
        <v>111</v>
      </c>
    </row>
    <row r="50" spans="1:6" x14ac:dyDescent="0.3">
      <c r="A50" s="2" t="s">
        <v>84</v>
      </c>
      <c r="B50" s="2" t="s">
        <v>6</v>
      </c>
      <c r="C50">
        <v>15.61</v>
      </c>
      <c r="D50">
        <v>87.5</v>
      </c>
      <c r="E50" t="s">
        <v>146</v>
      </c>
      <c r="F50" t="s">
        <v>113</v>
      </c>
    </row>
    <row r="51" spans="1:6" x14ac:dyDescent="0.3">
      <c r="A51" s="2" t="s">
        <v>85</v>
      </c>
      <c r="B51" s="2" t="s">
        <v>6</v>
      </c>
      <c r="C51">
        <v>15.8</v>
      </c>
      <c r="D51">
        <v>87.5</v>
      </c>
      <c r="E51" t="s">
        <v>146</v>
      </c>
      <c r="F51" t="s">
        <v>113</v>
      </c>
    </row>
    <row r="52" spans="1:6" x14ac:dyDescent="0.3">
      <c r="A52" s="2" t="s">
        <v>86</v>
      </c>
      <c r="B52" s="2" t="s">
        <v>6</v>
      </c>
      <c r="C52">
        <v>15.91</v>
      </c>
      <c r="D52">
        <v>87.5</v>
      </c>
      <c r="E52" t="s">
        <v>146</v>
      </c>
      <c r="F52" t="s">
        <v>113</v>
      </c>
    </row>
    <row r="53" spans="1:6" x14ac:dyDescent="0.3">
      <c r="A53" s="2" t="s">
        <v>87</v>
      </c>
      <c r="B53" s="2" t="s">
        <v>6</v>
      </c>
      <c r="C53">
        <v>15.73</v>
      </c>
      <c r="D53">
        <v>87.5</v>
      </c>
      <c r="E53" t="s">
        <v>146</v>
      </c>
      <c r="F53" t="s">
        <v>100</v>
      </c>
    </row>
    <row r="54" spans="1:6" x14ac:dyDescent="0.3">
      <c r="A54" s="2" t="s">
        <v>88</v>
      </c>
      <c r="B54" s="2" t="s">
        <v>6</v>
      </c>
      <c r="C54">
        <v>15.87</v>
      </c>
      <c r="D54">
        <v>87.5</v>
      </c>
      <c r="E54" t="s">
        <v>146</v>
      </c>
      <c r="F54" t="s">
        <v>100</v>
      </c>
    </row>
    <row r="55" spans="1:6" x14ac:dyDescent="0.3">
      <c r="A55" s="2" t="s">
        <v>89</v>
      </c>
      <c r="B55" s="2" t="s">
        <v>6</v>
      </c>
      <c r="C55">
        <v>15.71</v>
      </c>
      <c r="D55">
        <v>87.5</v>
      </c>
      <c r="E55" t="s">
        <v>146</v>
      </c>
      <c r="F55" t="s">
        <v>100</v>
      </c>
    </row>
    <row r="56" spans="1:6" x14ac:dyDescent="0.3">
      <c r="A56" s="2" t="s">
        <v>90</v>
      </c>
      <c r="B56" s="2" t="s">
        <v>6</v>
      </c>
      <c r="C56">
        <v>22.07</v>
      </c>
      <c r="D56">
        <v>82</v>
      </c>
      <c r="E56" t="s">
        <v>148</v>
      </c>
      <c r="F56" t="s">
        <v>111</v>
      </c>
    </row>
    <row r="57" spans="1:6" x14ac:dyDescent="0.3">
      <c r="A57" s="2" t="s">
        <v>91</v>
      </c>
      <c r="B57" s="2" t="s">
        <v>6</v>
      </c>
      <c r="C57">
        <v>22.01</v>
      </c>
      <c r="D57">
        <v>83</v>
      </c>
      <c r="E57" t="s">
        <v>148</v>
      </c>
      <c r="F57" t="s">
        <v>111</v>
      </c>
    </row>
    <row r="58" spans="1:6" x14ac:dyDescent="0.3">
      <c r="A58" s="2" t="s">
        <v>92</v>
      </c>
      <c r="B58" s="2" t="s">
        <v>6</v>
      </c>
      <c r="C58">
        <v>21.87</v>
      </c>
      <c r="D58">
        <v>82.5</v>
      </c>
      <c r="E58" t="s">
        <v>147</v>
      </c>
      <c r="F58" t="s">
        <v>111</v>
      </c>
    </row>
    <row r="59" spans="1:6" x14ac:dyDescent="0.3">
      <c r="A59" s="2" t="s">
        <v>93</v>
      </c>
      <c r="B59" s="2" t="s">
        <v>6</v>
      </c>
      <c r="C59">
        <v>20.329999999999998</v>
      </c>
      <c r="D59">
        <v>89</v>
      </c>
      <c r="E59" t="s">
        <v>147</v>
      </c>
      <c r="F59" t="s">
        <v>113</v>
      </c>
    </row>
    <row r="60" spans="1:6" x14ac:dyDescent="0.3">
      <c r="A60" s="2" t="s">
        <v>94</v>
      </c>
      <c r="B60" s="2" t="s">
        <v>6</v>
      </c>
      <c r="C60">
        <v>20.49</v>
      </c>
      <c r="D60">
        <v>82.5</v>
      </c>
      <c r="E60" t="s">
        <v>147</v>
      </c>
      <c r="F60" t="s">
        <v>113</v>
      </c>
    </row>
    <row r="61" spans="1:6" x14ac:dyDescent="0.3">
      <c r="A61" s="2" t="s">
        <v>95</v>
      </c>
      <c r="B61" s="2" t="s">
        <v>6</v>
      </c>
      <c r="C61">
        <v>20.420000000000002</v>
      </c>
      <c r="D61">
        <v>82.5</v>
      </c>
      <c r="E61" t="s">
        <v>147</v>
      </c>
      <c r="F61" t="s">
        <v>113</v>
      </c>
    </row>
    <row r="62" spans="1:6" x14ac:dyDescent="0.3">
      <c r="A62" s="2" t="s">
        <v>96</v>
      </c>
      <c r="B62" s="2" t="s">
        <v>6</v>
      </c>
      <c r="C62">
        <v>20.399999999999999</v>
      </c>
      <c r="D62">
        <v>82.5</v>
      </c>
      <c r="E62" t="s">
        <v>147</v>
      </c>
      <c r="F62" t="s">
        <v>100</v>
      </c>
    </row>
    <row r="63" spans="1:6" x14ac:dyDescent="0.3">
      <c r="A63" s="2" t="s">
        <v>97</v>
      </c>
      <c r="B63" s="2" t="s">
        <v>6</v>
      </c>
      <c r="C63">
        <v>20.43</v>
      </c>
      <c r="D63">
        <v>88.5</v>
      </c>
      <c r="E63" t="s">
        <v>147</v>
      </c>
      <c r="F63" t="s">
        <v>100</v>
      </c>
    </row>
    <row r="64" spans="1:6" x14ac:dyDescent="0.3">
      <c r="A64" s="2" t="s">
        <v>98</v>
      </c>
      <c r="B64" s="2" t="s">
        <v>6</v>
      </c>
      <c r="C64">
        <v>20.49</v>
      </c>
      <c r="D64">
        <v>88.5</v>
      </c>
      <c r="E64" t="s">
        <v>147</v>
      </c>
      <c r="F64" t="s">
        <v>100</v>
      </c>
    </row>
    <row r="65" spans="1:6" x14ac:dyDescent="0.3">
      <c r="A65" s="2" t="s">
        <v>115</v>
      </c>
      <c r="B65" s="2" t="s">
        <v>6</v>
      </c>
      <c r="C65">
        <v>25.55</v>
      </c>
      <c r="D65">
        <v>82</v>
      </c>
      <c r="E65" t="s">
        <v>150</v>
      </c>
      <c r="F65" t="s">
        <v>111</v>
      </c>
    </row>
    <row r="66" spans="1:6" x14ac:dyDescent="0.3">
      <c r="A66" s="2" t="s">
        <v>116</v>
      </c>
      <c r="B66" s="2" t="s">
        <v>6</v>
      </c>
      <c r="C66">
        <v>25.51</v>
      </c>
      <c r="D66">
        <v>81.5</v>
      </c>
      <c r="E66" t="s">
        <v>150</v>
      </c>
      <c r="F66" t="s">
        <v>111</v>
      </c>
    </row>
    <row r="67" spans="1:6" x14ac:dyDescent="0.3">
      <c r="A67" s="2" t="s">
        <v>117</v>
      </c>
      <c r="B67" s="2" t="s">
        <v>6</v>
      </c>
      <c r="C67">
        <v>25.37</v>
      </c>
      <c r="D67">
        <v>82</v>
      </c>
      <c r="E67" t="s">
        <v>149</v>
      </c>
      <c r="F67" t="s">
        <v>111</v>
      </c>
    </row>
    <row r="68" spans="1:6" x14ac:dyDescent="0.3">
      <c r="A68" s="2" t="s">
        <v>118</v>
      </c>
      <c r="B68" s="2" t="s">
        <v>6</v>
      </c>
      <c r="C68">
        <v>23.58</v>
      </c>
      <c r="D68">
        <v>82</v>
      </c>
      <c r="E68" t="s">
        <v>149</v>
      </c>
      <c r="F68" t="s">
        <v>113</v>
      </c>
    </row>
    <row r="69" spans="1:6" x14ac:dyDescent="0.3">
      <c r="A69" s="2" t="s">
        <v>119</v>
      </c>
      <c r="B69" s="2" t="s">
        <v>6</v>
      </c>
      <c r="C69">
        <v>23.72</v>
      </c>
      <c r="D69">
        <v>82</v>
      </c>
      <c r="E69" t="s">
        <v>149</v>
      </c>
      <c r="F69" t="s">
        <v>113</v>
      </c>
    </row>
    <row r="70" spans="1:6" x14ac:dyDescent="0.3">
      <c r="A70" s="2" t="s">
        <v>120</v>
      </c>
      <c r="B70" s="2" t="s">
        <v>6</v>
      </c>
      <c r="C70">
        <v>23.74</v>
      </c>
      <c r="D70">
        <v>82</v>
      </c>
      <c r="E70" t="s">
        <v>149</v>
      </c>
      <c r="F70" t="s">
        <v>113</v>
      </c>
    </row>
    <row r="71" spans="1:6" x14ac:dyDescent="0.3">
      <c r="A71" s="2" t="s">
        <v>121</v>
      </c>
      <c r="B71" s="2" t="s">
        <v>6</v>
      </c>
      <c r="C71">
        <v>23.74</v>
      </c>
      <c r="D71">
        <v>82</v>
      </c>
      <c r="E71" t="s">
        <v>149</v>
      </c>
      <c r="F71" t="s">
        <v>100</v>
      </c>
    </row>
    <row r="72" spans="1:6" x14ac:dyDescent="0.3">
      <c r="A72" s="2" t="s">
        <v>122</v>
      </c>
      <c r="B72" s="2" t="s">
        <v>6</v>
      </c>
      <c r="C72">
        <v>23.8</v>
      </c>
      <c r="D72">
        <v>82</v>
      </c>
      <c r="E72" t="s">
        <v>149</v>
      </c>
      <c r="F72" t="s">
        <v>100</v>
      </c>
    </row>
    <row r="73" spans="1:6" x14ac:dyDescent="0.3">
      <c r="A73" s="2" t="s">
        <v>123</v>
      </c>
      <c r="B73" s="2" t="s">
        <v>6</v>
      </c>
      <c r="C73">
        <v>23.57</v>
      </c>
      <c r="D73">
        <v>82</v>
      </c>
      <c r="E73" t="s">
        <v>149</v>
      </c>
      <c r="F73" t="s">
        <v>100</v>
      </c>
    </row>
    <row r="74" spans="1:6" x14ac:dyDescent="0.3">
      <c r="A74" s="2" t="s">
        <v>124</v>
      </c>
      <c r="B74" s="2" t="s">
        <v>6</v>
      </c>
      <c r="C74">
        <v>19.66</v>
      </c>
      <c r="D74">
        <v>88.5</v>
      </c>
      <c r="E74" t="s">
        <v>152</v>
      </c>
      <c r="F74" t="s">
        <v>111</v>
      </c>
    </row>
    <row r="75" spans="1:6" x14ac:dyDescent="0.3">
      <c r="A75" s="2" t="s">
        <v>125</v>
      </c>
      <c r="B75" s="2" t="s">
        <v>6</v>
      </c>
      <c r="C75">
        <v>19.53</v>
      </c>
      <c r="D75">
        <v>88.5</v>
      </c>
      <c r="E75" t="s">
        <v>152</v>
      </c>
      <c r="F75" t="s">
        <v>111</v>
      </c>
    </row>
    <row r="76" spans="1:6" x14ac:dyDescent="0.3">
      <c r="A76" s="2" t="s">
        <v>126</v>
      </c>
      <c r="B76" s="2" t="s">
        <v>6</v>
      </c>
      <c r="C76">
        <v>19.940000000000001</v>
      </c>
      <c r="D76">
        <v>88.5</v>
      </c>
      <c r="E76" t="s">
        <v>151</v>
      </c>
      <c r="F76" t="s">
        <v>111</v>
      </c>
    </row>
    <row r="77" spans="1:6" x14ac:dyDescent="0.3">
      <c r="A77" s="2" t="s">
        <v>127</v>
      </c>
      <c r="B77" s="2" t="s">
        <v>6</v>
      </c>
      <c r="C77">
        <v>24.02</v>
      </c>
      <c r="D77">
        <v>82</v>
      </c>
      <c r="E77" t="s">
        <v>151</v>
      </c>
      <c r="F77" t="s">
        <v>113</v>
      </c>
    </row>
    <row r="78" spans="1:6" x14ac:dyDescent="0.3">
      <c r="A78" s="2" t="s">
        <v>128</v>
      </c>
      <c r="B78" s="2" t="s">
        <v>6</v>
      </c>
      <c r="C78">
        <v>24.09</v>
      </c>
      <c r="D78">
        <v>82</v>
      </c>
      <c r="E78" t="s">
        <v>151</v>
      </c>
      <c r="F78" t="s">
        <v>113</v>
      </c>
    </row>
    <row r="79" spans="1:6" x14ac:dyDescent="0.3">
      <c r="A79" s="2" t="s">
        <v>129</v>
      </c>
      <c r="B79" s="2" t="s">
        <v>6</v>
      </c>
      <c r="C79">
        <v>24.2</v>
      </c>
      <c r="D79">
        <v>82</v>
      </c>
      <c r="E79" t="s">
        <v>151</v>
      </c>
      <c r="F79" t="s">
        <v>113</v>
      </c>
    </row>
    <row r="80" spans="1:6" x14ac:dyDescent="0.3">
      <c r="A80" s="2" t="s">
        <v>130</v>
      </c>
      <c r="B80" s="2" t="s">
        <v>6</v>
      </c>
      <c r="C80">
        <v>23</v>
      </c>
      <c r="D80">
        <v>86</v>
      </c>
      <c r="E80" t="s">
        <v>151</v>
      </c>
      <c r="F80" t="s">
        <v>100</v>
      </c>
    </row>
    <row r="81" spans="1:6" x14ac:dyDescent="0.3">
      <c r="A81" s="2" t="s">
        <v>131</v>
      </c>
      <c r="B81" s="2" t="s">
        <v>6</v>
      </c>
      <c r="C81">
        <v>23.13</v>
      </c>
      <c r="D81">
        <v>86</v>
      </c>
      <c r="E81" t="s">
        <v>151</v>
      </c>
      <c r="F81" t="s">
        <v>100</v>
      </c>
    </row>
    <row r="82" spans="1:6" x14ac:dyDescent="0.3">
      <c r="A82" s="2" t="s">
        <v>132</v>
      </c>
      <c r="B82" s="2" t="s">
        <v>6</v>
      </c>
      <c r="C82">
        <v>23.09</v>
      </c>
      <c r="D82">
        <v>86.5</v>
      </c>
      <c r="E82" t="s">
        <v>151</v>
      </c>
      <c r="F82" t="s">
        <v>100</v>
      </c>
    </row>
    <row r="83" spans="1:6" x14ac:dyDescent="0.3">
      <c r="A83" s="2" t="s">
        <v>133</v>
      </c>
      <c r="B83" s="2" t="s">
        <v>6</v>
      </c>
      <c r="C83">
        <v>17.46</v>
      </c>
      <c r="D83">
        <v>86</v>
      </c>
      <c r="E83" t="s">
        <v>153</v>
      </c>
      <c r="F83" t="s">
        <v>111</v>
      </c>
    </row>
    <row r="84" spans="1:6" x14ac:dyDescent="0.3">
      <c r="A84" s="2" t="s">
        <v>134</v>
      </c>
      <c r="B84" s="2" t="s">
        <v>6</v>
      </c>
      <c r="C84">
        <v>17.66</v>
      </c>
      <c r="D84">
        <v>85.5</v>
      </c>
      <c r="E84" t="s">
        <v>153</v>
      </c>
      <c r="F84" t="s">
        <v>111</v>
      </c>
    </row>
    <row r="85" spans="1:6" x14ac:dyDescent="0.3">
      <c r="A85" s="2" t="s">
        <v>135</v>
      </c>
      <c r="B85" s="2" t="s">
        <v>6</v>
      </c>
      <c r="C85">
        <v>17.37</v>
      </c>
      <c r="D85">
        <v>85.5</v>
      </c>
      <c r="E85" t="s">
        <v>153</v>
      </c>
      <c r="F85" t="s">
        <v>111</v>
      </c>
    </row>
    <row r="86" spans="1:6" x14ac:dyDescent="0.3">
      <c r="A86" s="2" t="s">
        <v>136</v>
      </c>
      <c r="B86" s="2" t="s">
        <v>6</v>
      </c>
      <c r="C86">
        <v>17.43</v>
      </c>
      <c r="D86">
        <v>85.5</v>
      </c>
      <c r="E86" t="s">
        <v>153</v>
      </c>
      <c r="F86" t="s">
        <v>113</v>
      </c>
    </row>
    <row r="87" spans="1:6" x14ac:dyDescent="0.3">
      <c r="A87" s="2" t="s">
        <v>137</v>
      </c>
      <c r="B87" s="2" t="s">
        <v>6</v>
      </c>
      <c r="C87">
        <v>17.579999999999998</v>
      </c>
      <c r="D87">
        <v>86</v>
      </c>
      <c r="E87" t="s">
        <v>153</v>
      </c>
      <c r="F87" t="s">
        <v>113</v>
      </c>
    </row>
    <row r="88" spans="1:6" x14ac:dyDescent="0.3">
      <c r="A88" s="2" t="s">
        <v>138</v>
      </c>
      <c r="B88" s="2" t="s">
        <v>6</v>
      </c>
      <c r="C88">
        <v>17.62</v>
      </c>
      <c r="D88">
        <v>86</v>
      </c>
      <c r="E88" t="s">
        <v>153</v>
      </c>
      <c r="F88" t="s">
        <v>113</v>
      </c>
    </row>
    <row r="89" spans="1:6" x14ac:dyDescent="0.3">
      <c r="A89" s="2" t="s">
        <v>139</v>
      </c>
      <c r="B89" s="2" t="s">
        <v>6</v>
      </c>
      <c r="C89">
        <v>17.510000000000002</v>
      </c>
      <c r="D89">
        <v>86</v>
      </c>
      <c r="E89" t="s">
        <v>153</v>
      </c>
      <c r="F89" t="s">
        <v>100</v>
      </c>
    </row>
    <row r="90" spans="1:6" x14ac:dyDescent="0.3">
      <c r="A90" s="2" t="s">
        <v>140</v>
      </c>
      <c r="B90" s="2" t="s">
        <v>6</v>
      </c>
      <c r="C90">
        <v>17.57</v>
      </c>
      <c r="D90">
        <v>85.5</v>
      </c>
      <c r="E90" t="s">
        <v>153</v>
      </c>
      <c r="F90" t="s">
        <v>100</v>
      </c>
    </row>
    <row r="91" spans="1:6" x14ac:dyDescent="0.3">
      <c r="A91" s="2" t="s">
        <v>141</v>
      </c>
      <c r="B91" s="2" t="s">
        <v>6</v>
      </c>
      <c r="C91">
        <v>17.29</v>
      </c>
      <c r="D91">
        <v>85.5</v>
      </c>
      <c r="E91" t="s">
        <v>153</v>
      </c>
      <c r="F91" t="s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37D7F-4BEA-4C77-84CC-46F05EC1F67C}">
  <dimension ref="A1:P10"/>
  <sheetViews>
    <sheetView workbookViewId="0">
      <selection activeCell="J27" sqref="J27"/>
    </sheetView>
  </sheetViews>
  <sheetFormatPr defaultRowHeight="14" x14ac:dyDescent="0.3"/>
  <cols>
    <col min="1" max="1" width="11.75" bestFit="1" customWidth="1"/>
    <col min="9" max="9" width="12.83203125" style="16" customWidth="1"/>
  </cols>
  <sheetData>
    <row r="1" spans="1:16" s="2" customFormat="1" ht="15.5" x14ac:dyDescent="0.3">
      <c r="A1" s="5" t="s">
        <v>154</v>
      </c>
      <c r="B1"/>
      <c r="C1" s="1" t="s">
        <v>0</v>
      </c>
      <c r="D1" s="1" t="s">
        <v>1</v>
      </c>
      <c r="E1" s="2" t="s">
        <v>2</v>
      </c>
      <c r="F1"/>
      <c r="G1"/>
      <c r="H1"/>
      <c r="I1" s="16" t="s">
        <v>3</v>
      </c>
      <c r="L1" s="4"/>
      <c r="M1" s="4"/>
      <c r="N1" s="4"/>
      <c r="O1" s="4"/>
      <c r="P1" s="4"/>
    </row>
    <row r="2" spans="1:16" s="2" customFormat="1" x14ac:dyDescent="0.3">
      <c r="A2" s="2" t="s">
        <v>42</v>
      </c>
      <c r="B2" t="s">
        <v>4</v>
      </c>
      <c r="C2" s="2">
        <v>17.18</v>
      </c>
      <c r="D2" s="1">
        <f>AVERAGE(C2:C4)</f>
        <v>17.079999999999998</v>
      </c>
      <c r="E2" s="2">
        <v>23.06</v>
      </c>
      <c r="F2" s="1">
        <f>E2-D2</f>
        <v>5.98</v>
      </c>
      <c r="G2" s="1">
        <f>AVERAGE(F2:F4)</f>
        <v>5.953333333333334</v>
      </c>
      <c r="H2" s="1">
        <f>F2-G2</f>
        <v>2.6666666666666394E-2</v>
      </c>
      <c r="I2" s="16">
        <f>POWER(2,-H2)</f>
        <v>0.98168585524675467</v>
      </c>
      <c r="J2" s="20" t="s">
        <v>102</v>
      </c>
      <c r="N2" s="4"/>
      <c r="O2" s="4"/>
      <c r="P2" s="4"/>
    </row>
    <row r="3" spans="1:16" s="2" customFormat="1" x14ac:dyDescent="0.3">
      <c r="A3" s="2" t="s">
        <v>42</v>
      </c>
      <c r="B3" t="s">
        <v>4</v>
      </c>
      <c r="C3" s="2">
        <v>17</v>
      </c>
      <c r="D3" s="1">
        <f>AVERAGE(C2:C4)</f>
        <v>17.079999999999998</v>
      </c>
      <c r="E3" s="2">
        <v>23.04</v>
      </c>
      <c r="F3" s="1">
        <f t="shared" ref="F3:F7" si="0">E3-D3</f>
        <v>5.9600000000000009</v>
      </c>
      <c r="G3" s="1">
        <f>G2</f>
        <v>5.953333333333334</v>
      </c>
      <c r="H3" s="1">
        <f t="shared" ref="H3:H7" si="1">F3-G3</f>
        <v>6.6666666666668206E-3</v>
      </c>
      <c r="I3" s="16">
        <f t="shared" ref="I3:I7" si="2">POWER(2,-H3)</f>
        <v>0.99538967910322906</v>
      </c>
      <c r="J3" s="20"/>
      <c r="N3" s="4"/>
      <c r="O3" s="4"/>
      <c r="P3" s="4"/>
    </row>
    <row r="4" spans="1:16" s="2" customFormat="1" x14ac:dyDescent="0.3">
      <c r="A4" s="2" t="s">
        <v>42</v>
      </c>
      <c r="B4" t="s">
        <v>4</v>
      </c>
      <c r="C4" s="2">
        <v>17.059999999999999</v>
      </c>
      <c r="D4" s="1">
        <f>AVERAGE(C2:C4)</f>
        <v>17.079999999999998</v>
      </c>
      <c r="E4" s="2">
        <v>23</v>
      </c>
      <c r="F4" s="1">
        <f t="shared" si="0"/>
        <v>5.9200000000000017</v>
      </c>
      <c r="G4" s="1">
        <f t="shared" ref="G4:G10" si="3">G3</f>
        <v>5.953333333333334</v>
      </c>
      <c r="H4" s="1">
        <f t="shared" si="1"/>
        <v>-3.3333333333332327E-2</v>
      </c>
      <c r="I4" s="16">
        <f t="shared" si="2"/>
        <v>1.0233738919967741</v>
      </c>
      <c r="J4" s="20"/>
      <c r="N4" s="4"/>
      <c r="O4" s="4"/>
      <c r="P4" s="4"/>
    </row>
    <row r="5" spans="1:16" s="2" customFormat="1" x14ac:dyDescent="0.3">
      <c r="A5" s="2" t="s">
        <v>157</v>
      </c>
      <c r="B5" t="s">
        <v>4</v>
      </c>
      <c r="C5" s="2">
        <v>17.02</v>
      </c>
      <c r="D5" s="1">
        <f>AVERAGE(C5:C7)</f>
        <v>17.123333333333335</v>
      </c>
      <c r="E5" s="2">
        <v>24.02</v>
      </c>
      <c r="F5" s="1">
        <f t="shared" si="0"/>
        <v>6.8966666666666647</v>
      </c>
      <c r="G5" s="1">
        <f t="shared" si="3"/>
        <v>5.953333333333334</v>
      </c>
      <c r="H5" s="1">
        <f t="shared" si="1"/>
        <v>0.94333333333333069</v>
      </c>
      <c r="I5" s="16">
        <f t="shared" si="2"/>
        <v>0.52002996694423986</v>
      </c>
      <c r="J5" s="20"/>
      <c r="L5" s="4"/>
      <c r="M5" s="4"/>
      <c r="N5" s="4"/>
      <c r="O5" s="4"/>
      <c r="P5" s="4"/>
    </row>
    <row r="6" spans="1:16" s="2" customFormat="1" x14ac:dyDescent="0.3">
      <c r="A6" s="2" t="s">
        <v>157</v>
      </c>
      <c r="B6" t="s">
        <v>4</v>
      </c>
      <c r="C6" s="2">
        <v>17.23</v>
      </c>
      <c r="D6" s="1">
        <f>AVERAGE(C5:C7)</f>
        <v>17.123333333333335</v>
      </c>
      <c r="E6" s="2">
        <v>24.06</v>
      </c>
      <c r="F6" s="1">
        <f t="shared" si="0"/>
        <v>6.9366666666666639</v>
      </c>
      <c r="G6" s="1">
        <f t="shared" si="3"/>
        <v>5.953333333333334</v>
      </c>
      <c r="H6" s="1">
        <f t="shared" si="1"/>
        <v>0.98333333333332984</v>
      </c>
      <c r="I6" s="16">
        <f t="shared" si="2"/>
        <v>0.50580972015096248</v>
      </c>
      <c r="J6" s="20"/>
      <c r="L6" s="4"/>
      <c r="M6" s="4"/>
      <c r="N6" s="4"/>
      <c r="O6" s="4"/>
      <c r="P6" s="4"/>
    </row>
    <row r="7" spans="1:16" s="2" customFormat="1" x14ac:dyDescent="0.3">
      <c r="A7" s="2" t="s">
        <v>157</v>
      </c>
      <c r="B7" t="s">
        <v>4</v>
      </c>
      <c r="C7" s="2">
        <v>17.12</v>
      </c>
      <c r="D7" s="1">
        <f>AVERAGE(C5:C7)</f>
        <v>17.123333333333335</v>
      </c>
      <c r="E7" s="2">
        <v>23.98</v>
      </c>
      <c r="F7" s="1">
        <f t="shared" si="0"/>
        <v>6.8566666666666656</v>
      </c>
      <c r="G7" s="1">
        <f t="shared" si="3"/>
        <v>5.953333333333334</v>
      </c>
      <c r="H7" s="1">
        <f t="shared" si="1"/>
        <v>0.90333333333333155</v>
      </c>
      <c r="I7" s="16">
        <f t="shared" si="2"/>
        <v>0.53464999929086987</v>
      </c>
      <c r="J7" s="20"/>
      <c r="L7" s="4"/>
      <c r="M7" s="4"/>
      <c r="N7" s="4"/>
      <c r="O7" s="4"/>
    </row>
    <row r="8" spans="1:16" s="2" customFormat="1" x14ac:dyDescent="0.3">
      <c r="A8" s="2" t="s">
        <v>158</v>
      </c>
      <c r="B8" t="s">
        <v>4</v>
      </c>
      <c r="C8" s="2">
        <v>17.27</v>
      </c>
      <c r="D8" s="1">
        <f>AVERAGE(C8:C10)</f>
        <v>17.169999999999998</v>
      </c>
      <c r="E8" s="2">
        <v>23.58</v>
      </c>
      <c r="F8" s="1">
        <f>E8-D8</f>
        <v>6.41</v>
      </c>
      <c r="G8" s="1">
        <f>G7</f>
        <v>5.953333333333334</v>
      </c>
      <c r="H8" s="1">
        <f>F8-G8</f>
        <v>0.45666666666666611</v>
      </c>
      <c r="I8" s="16">
        <f>POWER(2,-H8)</f>
        <v>0.72866789553347222</v>
      </c>
      <c r="J8" s="20"/>
      <c r="M8" s="4"/>
      <c r="N8" s="4"/>
      <c r="O8" s="4"/>
    </row>
    <row r="9" spans="1:16" s="2" customFormat="1" x14ac:dyDescent="0.3">
      <c r="A9" s="2" t="s">
        <v>158</v>
      </c>
      <c r="B9" t="s">
        <v>4</v>
      </c>
      <c r="C9" s="2">
        <v>17.239999999999998</v>
      </c>
      <c r="D9" s="1">
        <f>AVERAGE(C8:C10)</f>
        <v>17.169999999999998</v>
      </c>
      <c r="E9" s="2">
        <v>23.59</v>
      </c>
      <c r="F9" s="1">
        <f t="shared" ref="F9:F10" si="4">E9-D9</f>
        <v>6.4200000000000017</v>
      </c>
      <c r="G9" s="1">
        <f t="shared" si="3"/>
        <v>5.953333333333334</v>
      </c>
      <c r="H9" s="1">
        <f t="shared" ref="H9:H10" si="5">F9-G9</f>
        <v>0.46666666666666767</v>
      </c>
      <c r="I9" s="16">
        <f t="shared" ref="I9:I10" si="6">POWER(2,-H9)</f>
        <v>0.72363461872018864</v>
      </c>
      <c r="J9" s="20"/>
      <c r="M9" s="4"/>
      <c r="N9" s="4"/>
      <c r="O9" s="4"/>
    </row>
    <row r="10" spans="1:16" s="2" customFormat="1" x14ac:dyDescent="0.3">
      <c r="A10" s="2" t="s">
        <v>158</v>
      </c>
      <c r="B10" t="s">
        <v>4</v>
      </c>
      <c r="C10" s="2">
        <v>17</v>
      </c>
      <c r="D10" s="1">
        <f>AVERAGE(C8:C10)</f>
        <v>17.169999999999998</v>
      </c>
      <c r="E10" s="2">
        <v>23.66</v>
      </c>
      <c r="F10" s="1">
        <f t="shared" si="4"/>
        <v>6.490000000000002</v>
      </c>
      <c r="G10" s="1">
        <f t="shared" si="3"/>
        <v>5.953333333333334</v>
      </c>
      <c r="H10" s="1">
        <f t="shared" si="5"/>
        <v>0.53666666666666796</v>
      </c>
      <c r="I10" s="16">
        <f t="shared" si="6"/>
        <v>0.68936183449288824</v>
      </c>
      <c r="J10" s="20"/>
      <c r="M10" s="4"/>
      <c r="N10" s="4"/>
      <c r="O10" s="4"/>
    </row>
  </sheetData>
  <mergeCells count="1">
    <mergeCell ref="J2:J1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1FE2-9E66-4A4E-AC32-9B1D754364DD}">
  <dimension ref="A1:F19"/>
  <sheetViews>
    <sheetView workbookViewId="0">
      <selection activeCell="G31" sqref="G31"/>
    </sheetView>
  </sheetViews>
  <sheetFormatPr defaultRowHeight="14" x14ac:dyDescent="0.3"/>
  <sheetData>
    <row r="1" spans="1:6" s="2" customFormat="1" x14ac:dyDescent="0.3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</row>
    <row r="2" spans="1:6" s="2" customFormat="1" x14ac:dyDescent="0.3">
      <c r="A2" s="2" t="s">
        <v>5</v>
      </c>
      <c r="B2" s="2" t="s">
        <v>6</v>
      </c>
      <c r="C2" s="2">
        <v>23.06</v>
      </c>
      <c r="D2" s="2">
        <v>86</v>
      </c>
      <c r="E2" s="2" t="s">
        <v>102</v>
      </c>
      <c r="F2" s="2" t="s">
        <v>42</v>
      </c>
    </row>
    <row r="3" spans="1:6" s="2" customFormat="1" x14ac:dyDescent="0.3">
      <c r="A3" s="2" t="s">
        <v>7</v>
      </c>
      <c r="B3" s="2" t="s">
        <v>6</v>
      </c>
      <c r="C3" s="2">
        <v>23.04</v>
      </c>
      <c r="D3" s="2">
        <v>86</v>
      </c>
      <c r="E3" s="2" t="s">
        <v>102</v>
      </c>
      <c r="F3" s="2" t="s">
        <v>42</v>
      </c>
    </row>
    <row r="4" spans="1:6" s="2" customFormat="1" x14ac:dyDescent="0.3">
      <c r="A4" s="2" t="s">
        <v>8</v>
      </c>
      <c r="B4" s="2" t="s">
        <v>6</v>
      </c>
      <c r="C4" s="2">
        <v>23</v>
      </c>
      <c r="D4" s="2">
        <v>86</v>
      </c>
      <c r="E4" s="2" t="s">
        <v>142</v>
      </c>
      <c r="F4" s="2" t="s">
        <v>42</v>
      </c>
    </row>
    <row r="5" spans="1:6" s="2" customFormat="1" x14ac:dyDescent="0.3">
      <c r="A5" s="2" t="s">
        <v>9</v>
      </c>
      <c r="B5" s="2" t="s">
        <v>6</v>
      </c>
      <c r="C5" s="2">
        <v>24.02</v>
      </c>
      <c r="D5" s="2">
        <v>82</v>
      </c>
      <c r="E5" s="2" t="s">
        <v>142</v>
      </c>
      <c r="F5" s="2" t="s">
        <v>157</v>
      </c>
    </row>
    <row r="6" spans="1:6" s="2" customFormat="1" x14ac:dyDescent="0.3">
      <c r="A6" s="2" t="s">
        <v>10</v>
      </c>
      <c r="B6" s="2" t="s">
        <v>6</v>
      </c>
      <c r="C6" s="2">
        <v>24.06</v>
      </c>
      <c r="D6" s="2">
        <v>82</v>
      </c>
      <c r="E6" s="2" t="s">
        <v>142</v>
      </c>
      <c r="F6" s="2" t="s">
        <v>157</v>
      </c>
    </row>
    <row r="7" spans="1:6" s="2" customFormat="1" x14ac:dyDescent="0.3">
      <c r="A7" s="2" t="s">
        <v>11</v>
      </c>
      <c r="B7" s="2" t="s">
        <v>6</v>
      </c>
      <c r="C7" s="2">
        <v>23.98</v>
      </c>
      <c r="D7" s="2">
        <v>82</v>
      </c>
      <c r="E7" s="2" t="s">
        <v>142</v>
      </c>
      <c r="F7" s="2" t="s">
        <v>157</v>
      </c>
    </row>
    <row r="8" spans="1:6" s="2" customFormat="1" x14ac:dyDescent="0.3">
      <c r="A8" s="2" t="s">
        <v>12</v>
      </c>
      <c r="B8" s="2" t="s">
        <v>6</v>
      </c>
      <c r="C8" s="2">
        <v>23.58</v>
      </c>
      <c r="D8" s="2">
        <v>86.5</v>
      </c>
      <c r="E8" s="2" t="s">
        <v>142</v>
      </c>
      <c r="F8" s="2" t="s">
        <v>158</v>
      </c>
    </row>
    <row r="9" spans="1:6" s="2" customFormat="1" x14ac:dyDescent="0.3">
      <c r="A9" s="2" t="s">
        <v>13</v>
      </c>
      <c r="B9" s="2" t="s">
        <v>6</v>
      </c>
      <c r="C9" s="2">
        <v>23.59</v>
      </c>
      <c r="D9" s="2">
        <v>86</v>
      </c>
      <c r="E9" s="2" t="s">
        <v>142</v>
      </c>
      <c r="F9" s="2" t="s">
        <v>158</v>
      </c>
    </row>
    <row r="10" spans="1:6" s="2" customFormat="1" x14ac:dyDescent="0.3">
      <c r="A10" s="2" t="s">
        <v>69</v>
      </c>
      <c r="B10" s="2" t="s">
        <v>6</v>
      </c>
      <c r="C10" s="2">
        <v>23.66</v>
      </c>
      <c r="D10" s="2">
        <v>86</v>
      </c>
      <c r="E10" s="2" t="s">
        <v>142</v>
      </c>
      <c r="F10" s="2" t="s">
        <v>158</v>
      </c>
    </row>
    <row r="11" spans="1:6" s="2" customFormat="1" x14ac:dyDescent="0.3">
      <c r="A11" s="2" t="s">
        <v>70</v>
      </c>
      <c r="B11" s="2" t="s">
        <v>6</v>
      </c>
      <c r="C11" s="2">
        <v>17.18</v>
      </c>
      <c r="D11" s="2">
        <v>85.5</v>
      </c>
      <c r="E11" s="2" t="s">
        <v>71</v>
      </c>
      <c r="F11" s="2" t="s">
        <v>42</v>
      </c>
    </row>
    <row r="12" spans="1:6" s="2" customFormat="1" x14ac:dyDescent="0.3">
      <c r="A12" s="2" t="s">
        <v>19</v>
      </c>
      <c r="B12" s="2" t="s">
        <v>6</v>
      </c>
      <c r="C12" s="2">
        <v>17</v>
      </c>
      <c r="D12" s="2">
        <v>85.5</v>
      </c>
      <c r="E12" s="2" t="s">
        <v>71</v>
      </c>
      <c r="F12" s="2" t="s">
        <v>42</v>
      </c>
    </row>
    <row r="13" spans="1:6" s="2" customFormat="1" x14ac:dyDescent="0.3">
      <c r="A13" s="2" t="s">
        <v>20</v>
      </c>
      <c r="B13" s="2" t="s">
        <v>6</v>
      </c>
      <c r="C13" s="2">
        <v>17.059999999999999</v>
      </c>
      <c r="D13" s="2">
        <v>85.5</v>
      </c>
      <c r="E13" s="2" t="s">
        <v>71</v>
      </c>
      <c r="F13" s="2" t="s">
        <v>42</v>
      </c>
    </row>
    <row r="14" spans="1:6" s="2" customFormat="1" x14ac:dyDescent="0.3">
      <c r="A14" s="2" t="s">
        <v>21</v>
      </c>
      <c r="B14" s="2" t="s">
        <v>6</v>
      </c>
      <c r="C14" s="2">
        <v>17.02</v>
      </c>
      <c r="D14" s="2">
        <v>85.5</v>
      </c>
      <c r="E14" s="2" t="s">
        <v>71</v>
      </c>
      <c r="F14" s="2" t="s">
        <v>157</v>
      </c>
    </row>
    <row r="15" spans="1:6" s="2" customFormat="1" x14ac:dyDescent="0.3">
      <c r="A15" s="2" t="s">
        <v>22</v>
      </c>
      <c r="B15" s="2" t="s">
        <v>6</v>
      </c>
      <c r="C15" s="2">
        <v>17.23</v>
      </c>
      <c r="D15" s="2">
        <v>85.5</v>
      </c>
      <c r="E15" s="2" t="s">
        <v>71</v>
      </c>
      <c r="F15" s="2" t="s">
        <v>157</v>
      </c>
    </row>
    <row r="16" spans="1:6" s="2" customFormat="1" x14ac:dyDescent="0.3">
      <c r="A16" s="2" t="s">
        <v>23</v>
      </c>
      <c r="B16" s="2" t="s">
        <v>6</v>
      </c>
      <c r="C16" s="2">
        <v>17.12</v>
      </c>
      <c r="D16" s="2">
        <v>85.5</v>
      </c>
      <c r="E16" s="2" t="s">
        <v>71</v>
      </c>
      <c r="F16" s="2" t="s">
        <v>157</v>
      </c>
    </row>
    <row r="17" spans="1:6" s="2" customFormat="1" x14ac:dyDescent="0.3">
      <c r="A17" s="2" t="s">
        <v>24</v>
      </c>
      <c r="B17" s="2" t="s">
        <v>6</v>
      </c>
      <c r="C17" s="2">
        <v>17.27</v>
      </c>
      <c r="D17" s="2">
        <v>85.5</v>
      </c>
      <c r="E17" s="2" t="s">
        <v>71</v>
      </c>
      <c r="F17" s="2" t="s">
        <v>158</v>
      </c>
    </row>
    <row r="18" spans="1:6" s="2" customFormat="1" x14ac:dyDescent="0.3">
      <c r="A18" s="2" t="s">
        <v>25</v>
      </c>
      <c r="B18" s="2" t="s">
        <v>6</v>
      </c>
      <c r="C18" s="2">
        <v>17.239999999999998</v>
      </c>
      <c r="D18" s="2">
        <v>85.5</v>
      </c>
      <c r="E18" s="2" t="s">
        <v>71</v>
      </c>
      <c r="F18" s="2" t="s">
        <v>158</v>
      </c>
    </row>
    <row r="19" spans="1:6" s="2" customFormat="1" x14ac:dyDescent="0.3">
      <c r="A19" s="2" t="s">
        <v>26</v>
      </c>
      <c r="B19" s="2" t="s">
        <v>6</v>
      </c>
      <c r="C19" s="2">
        <v>17</v>
      </c>
      <c r="D19" s="2">
        <v>85.5</v>
      </c>
      <c r="E19" s="2" t="s">
        <v>71</v>
      </c>
      <c r="F19" s="2" t="s">
        <v>158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0B61-9D4F-4A47-83E0-685AFC196DE3}">
  <dimension ref="A1:P10"/>
  <sheetViews>
    <sheetView workbookViewId="0">
      <selection activeCell="F32" sqref="F32"/>
    </sheetView>
  </sheetViews>
  <sheetFormatPr defaultRowHeight="14" x14ac:dyDescent="0.3"/>
  <cols>
    <col min="1" max="1" width="11.75" bestFit="1" customWidth="1"/>
    <col min="9" max="9" width="12.83203125" style="16" customWidth="1"/>
  </cols>
  <sheetData>
    <row r="1" spans="1:16" s="2" customFormat="1" x14ac:dyDescent="0.3">
      <c r="A1" s="2" t="s">
        <v>155</v>
      </c>
      <c r="B1"/>
      <c r="C1" s="1" t="s">
        <v>0</v>
      </c>
      <c r="D1" s="1" t="s">
        <v>1</v>
      </c>
      <c r="E1" s="2" t="s">
        <v>2</v>
      </c>
      <c r="F1"/>
      <c r="G1"/>
      <c r="H1"/>
      <c r="I1" s="16" t="s">
        <v>3</v>
      </c>
      <c r="L1" s="4"/>
      <c r="M1" s="4"/>
      <c r="N1" s="4"/>
      <c r="O1" s="4"/>
      <c r="P1" s="4"/>
    </row>
    <row r="2" spans="1:16" s="2" customFormat="1" x14ac:dyDescent="0.3">
      <c r="A2" s="2" t="s">
        <v>42</v>
      </c>
      <c r="B2" t="s">
        <v>4</v>
      </c>
      <c r="C2" s="2">
        <v>15.78</v>
      </c>
      <c r="D2" s="1">
        <f>AVERAGE(C2:C4)</f>
        <v>15.683333333333332</v>
      </c>
      <c r="E2" s="2">
        <v>19.64</v>
      </c>
      <c r="F2" s="1">
        <f>E2-D2</f>
        <v>3.9566666666666688</v>
      </c>
      <c r="G2" s="1">
        <f>AVERAGE(F2:F4)</f>
        <v>3.9366666666666679</v>
      </c>
      <c r="H2" s="1">
        <f>F2-G2</f>
        <v>2.0000000000000906E-2</v>
      </c>
      <c r="I2" s="16">
        <f>POWER(2,-H2)</f>
        <v>0.98623270449335854</v>
      </c>
      <c r="J2" s="20" t="s">
        <v>102</v>
      </c>
      <c r="N2" s="4"/>
      <c r="O2" s="4"/>
      <c r="P2" s="4"/>
    </row>
    <row r="3" spans="1:16" s="2" customFormat="1" x14ac:dyDescent="0.3">
      <c r="A3" s="2" t="s">
        <v>42</v>
      </c>
      <c r="B3" t="s">
        <v>4</v>
      </c>
      <c r="C3" s="2">
        <v>15.67</v>
      </c>
      <c r="D3" s="1">
        <f>AVERAGE(C2:C4)</f>
        <v>15.683333333333332</v>
      </c>
      <c r="E3" s="2">
        <v>19.66</v>
      </c>
      <c r="F3" s="1">
        <f t="shared" ref="F3:F7" si="0">E3-D3</f>
        <v>3.9766666666666683</v>
      </c>
      <c r="G3" s="1">
        <f>G2</f>
        <v>3.9366666666666679</v>
      </c>
      <c r="H3" s="1">
        <f t="shared" ref="H3:H7" si="1">F3-G3</f>
        <v>4.000000000000048E-2</v>
      </c>
      <c r="I3" s="16">
        <f t="shared" ref="I3:I7" si="2">POWER(2,-H3)</f>
        <v>0.97265494741228531</v>
      </c>
      <c r="J3" s="20"/>
      <c r="N3" s="4"/>
      <c r="O3" s="4"/>
      <c r="P3" s="4"/>
    </row>
    <row r="4" spans="1:16" s="2" customFormat="1" x14ac:dyDescent="0.3">
      <c r="A4" s="2" t="s">
        <v>42</v>
      </c>
      <c r="B4" t="s">
        <v>4</v>
      </c>
      <c r="C4" s="2">
        <v>15.6</v>
      </c>
      <c r="D4" s="1">
        <f>AVERAGE(C2:C4)</f>
        <v>15.683333333333332</v>
      </c>
      <c r="E4" s="2">
        <v>19.559999999999999</v>
      </c>
      <c r="F4" s="1">
        <f t="shared" si="0"/>
        <v>3.8766666666666669</v>
      </c>
      <c r="G4" s="1">
        <f t="shared" ref="G4:G10" si="3">G3</f>
        <v>3.9366666666666679</v>
      </c>
      <c r="H4" s="1">
        <f t="shared" si="1"/>
        <v>-6.0000000000000941E-2</v>
      </c>
      <c r="I4" s="16">
        <f t="shared" si="2"/>
        <v>1.0424657608411221</v>
      </c>
      <c r="J4" s="20"/>
      <c r="N4" s="4"/>
      <c r="O4" s="4"/>
      <c r="P4" s="4"/>
    </row>
    <row r="5" spans="1:16" s="2" customFormat="1" x14ac:dyDescent="0.3">
      <c r="A5" s="2" t="s">
        <v>157</v>
      </c>
      <c r="B5" t="s">
        <v>4</v>
      </c>
      <c r="C5" s="2">
        <v>16.86</v>
      </c>
      <c r="D5" s="1">
        <f>AVERAGE(C5:C7)</f>
        <v>16.959999999999997</v>
      </c>
      <c r="E5" s="2">
        <v>21.63</v>
      </c>
      <c r="F5" s="1">
        <f t="shared" si="0"/>
        <v>4.6700000000000017</v>
      </c>
      <c r="G5" s="1">
        <f t="shared" si="3"/>
        <v>3.9366666666666679</v>
      </c>
      <c r="H5" s="1">
        <f t="shared" si="1"/>
        <v>0.73333333333333384</v>
      </c>
      <c r="I5" s="16">
        <f t="shared" si="2"/>
        <v>0.6015125180410581</v>
      </c>
      <c r="J5" s="20"/>
      <c r="L5" s="4"/>
      <c r="M5" s="4"/>
      <c r="N5" s="4"/>
      <c r="O5" s="4"/>
      <c r="P5" s="4"/>
    </row>
    <row r="6" spans="1:16" s="2" customFormat="1" x14ac:dyDescent="0.3">
      <c r="A6" s="2" t="s">
        <v>157</v>
      </c>
      <c r="B6" t="s">
        <v>4</v>
      </c>
      <c r="C6" s="2">
        <v>17.02</v>
      </c>
      <c r="D6" s="1">
        <f>AVERAGE(C5:C7)</f>
        <v>16.959999999999997</v>
      </c>
      <c r="E6" s="2">
        <v>21.66</v>
      </c>
      <c r="F6" s="1">
        <f t="shared" si="0"/>
        <v>4.7000000000000028</v>
      </c>
      <c r="G6" s="1">
        <f t="shared" si="3"/>
        <v>3.9366666666666679</v>
      </c>
      <c r="H6" s="1">
        <f t="shared" si="1"/>
        <v>0.76333333333333497</v>
      </c>
      <c r="I6" s="16">
        <f t="shared" si="2"/>
        <v>0.58913356942203443</v>
      </c>
      <c r="J6" s="20"/>
      <c r="L6" s="4"/>
      <c r="M6" s="4"/>
      <c r="N6" s="4"/>
      <c r="O6" s="4"/>
      <c r="P6" s="4"/>
    </row>
    <row r="7" spans="1:16" s="2" customFormat="1" x14ac:dyDescent="0.3">
      <c r="A7" s="2" t="s">
        <v>157</v>
      </c>
      <c r="B7" t="s">
        <v>4</v>
      </c>
      <c r="C7" s="2">
        <v>17</v>
      </c>
      <c r="D7" s="1">
        <f>AVERAGE(C5:C7)</f>
        <v>16.959999999999997</v>
      </c>
      <c r="E7" s="2">
        <v>21.71</v>
      </c>
      <c r="F7" s="1">
        <f t="shared" si="0"/>
        <v>4.7500000000000036</v>
      </c>
      <c r="G7" s="1">
        <f t="shared" si="3"/>
        <v>3.9366666666666679</v>
      </c>
      <c r="H7" s="1">
        <f t="shared" si="1"/>
        <v>0.81333333333333568</v>
      </c>
      <c r="I7" s="16">
        <f t="shared" si="2"/>
        <v>0.56906551729391031</v>
      </c>
      <c r="J7" s="20"/>
      <c r="L7" s="4"/>
      <c r="M7" s="4"/>
      <c r="N7" s="4"/>
      <c r="O7" s="4"/>
    </row>
    <row r="8" spans="1:16" s="2" customFormat="1" x14ac:dyDescent="0.3">
      <c r="A8" s="2" t="s">
        <v>158</v>
      </c>
      <c r="B8" t="s">
        <v>4</v>
      </c>
      <c r="C8" s="2">
        <v>16.350000000000001</v>
      </c>
      <c r="D8" s="1">
        <f>AVERAGE(C8:C10)</f>
        <v>16.156666666666666</v>
      </c>
      <c r="E8" s="2">
        <v>20.43</v>
      </c>
      <c r="F8" s="1">
        <f>E8-D8</f>
        <v>4.2733333333333334</v>
      </c>
      <c r="G8" s="1">
        <f>G7</f>
        <v>3.9366666666666679</v>
      </c>
      <c r="H8" s="1">
        <f>F8-G8</f>
        <v>0.33666666666666556</v>
      </c>
      <c r="I8" s="16">
        <f>POWER(2,-H8)</f>
        <v>0.79186880527972037</v>
      </c>
      <c r="J8" s="20"/>
      <c r="M8" s="4"/>
      <c r="N8" s="4"/>
      <c r="O8" s="4"/>
    </row>
    <row r="9" spans="1:16" s="2" customFormat="1" x14ac:dyDescent="0.3">
      <c r="A9" s="2" t="s">
        <v>158</v>
      </c>
      <c r="B9" t="s">
        <v>4</v>
      </c>
      <c r="C9" s="2">
        <v>16.170000000000002</v>
      </c>
      <c r="D9" s="1">
        <f>AVERAGE(C8:C10)</f>
        <v>16.156666666666666</v>
      </c>
      <c r="E9" s="2">
        <v>20.32</v>
      </c>
      <c r="F9" s="1">
        <f t="shared" ref="F9:F10" si="4">E9-D9</f>
        <v>4.163333333333334</v>
      </c>
      <c r="G9" s="1">
        <f t="shared" si="3"/>
        <v>3.9366666666666679</v>
      </c>
      <c r="H9" s="1">
        <f t="shared" ref="H9:H10" si="5">F9-G9</f>
        <v>0.22666666666666613</v>
      </c>
      <c r="I9" s="16">
        <f t="shared" ref="I9:I10" si="6">POWER(2,-H9)</f>
        <v>0.85460717426489985</v>
      </c>
      <c r="J9" s="20"/>
      <c r="M9" s="4"/>
      <c r="N9" s="4"/>
      <c r="O9" s="4"/>
    </row>
    <row r="10" spans="1:16" s="2" customFormat="1" x14ac:dyDescent="0.3">
      <c r="A10" s="2" t="s">
        <v>158</v>
      </c>
      <c r="B10" t="s">
        <v>4</v>
      </c>
      <c r="C10" s="2">
        <v>15.95</v>
      </c>
      <c r="D10" s="1">
        <f>AVERAGE(C8:C10)</f>
        <v>16.156666666666666</v>
      </c>
      <c r="E10" s="2">
        <v>20.350000000000001</v>
      </c>
      <c r="F10" s="1">
        <f t="shared" si="4"/>
        <v>4.1933333333333351</v>
      </c>
      <c r="G10" s="1">
        <f t="shared" si="3"/>
        <v>3.9366666666666679</v>
      </c>
      <c r="H10" s="1">
        <f t="shared" si="5"/>
        <v>0.25666666666666726</v>
      </c>
      <c r="I10" s="16">
        <f t="shared" si="6"/>
        <v>0.83701961293845017</v>
      </c>
      <c r="J10" s="20"/>
      <c r="M10" s="4"/>
      <c r="N10" s="4"/>
      <c r="O10" s="4"/>
    </row>
  </sheetData>
  <mergeCells count="1">
    <mergeCell ref="J2:J10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9FE1-D228-42F3-B7B5-E3EC1BA5BAB0}">
  <dimension ref="A1:F19"/>
  <sheetViews>
    <sheetView workbookViewId="0">
      <selection activeCell="J27" sqref="J27"/>
    </sheetView>
  </sheetViews>
  <sheetFormatPr defaultRowHeight="14" x14ac:dyDescent="0.3"/>
  <sheetData>
    <row r="1" spans="1:6" s="2" customFormat="1" x14ac:dyDescent="0.3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</row>
    <row r="2" spans="1:6" s="2" customFormat="1" x14ac:dyDescent="0.3">
      <c r="A2" s="2" t="s">
        <v>5</v>
      </c>
      <c r="B2" s="2" t="s">
        <v>6</v>
      </c>
      <c r="C2" s="2">
        <v>19.64</v>
      </c>
      <c r="D2" s="2">
        <v>88.5</v>
      </c>
      <c r="E2" s="2" t="s">
        <v>102</v>
      </c>
      <c r="F2" s="2" t="s">
        <v>42</v>
      </c>
    </row>
    <row r="3" spans="1:6" s="2" customFormat="1" x14ac:dyDescent="0.3">
      <c r="A3" s="2" t="s">
        <v>7</v>
      </c>
      <c r="B3" s="2" t="s">
        <v>6</v>
      </c>
      <c r="C3" s="2">
        <v>19.66</v>
      </c>
      <c r="D3" s="2">
        <v>88.5</v>
      </c>
      <c r="E3" s="2" t="s">
        <v>102</v>
      </c>
      <c r="F3" s="2" t="s">
        <v>42</v>
      </c>
    </row>
    <row r="4" spans="1:6" s="2" customFormat="1" x14ac:dyDescent="0.3">
      <c r="A4" s="2" t="s">
        <v>8</v>
      </c>
      <c r="B4" s="2" t="s">
        <v>6</v>
      </c>
      <c r="C4" s="2">
        <v>19.559999999999999</v>
      </c>
      <c r="D4" s="2">
        <v>88.5</v>
      </c>
      <c r="E4" s="2" t="s">
        <v>142</v>
      </c>
      <c r="F4" s="2" t="s">
        <v>42</v>
      </c>
    </row>
    <row r="5" spans="1:6" s="2" customFormat="1" x14ac:dyDescent="0.3">
      <c r="A5" s="2" t="s">
        <v>9</v>
      </c>
      <c r="B5" s="2" t="s">
        <v>6</v>
      </c>
      <c r="C5" s="2">
        <v>21.63</v>
      </c>
      <c r="D5" s="2">
        <v>82.5</v>
      </c>
      <c r="E5" s="2" t="s">
        <v>142</v>
      </c>
      <c r="F5" s="2" t="s">
        <v>157</v>
      </c>
    </row>
    <row r="6" spans="1:6" s="2" customFormat="1" x14ac:dyDescent="0.3">
      <c r="A6" s="2" t="s">
        <v>10</v>
      </c>
      <c r="B6" s="2" t="s">
        <v>6</v>
      </c>
      <c r="C6" s="2">
        <v>21.66</v>
      </c>
      <c r="D6" s="2">
        <v>82</v>
      </c>
      <c r="E6" s="2" t="s">
        <v>142</v>
      </c>
      <c r="F6" s="2" t="s">
        <v>157</v>
      </c>
    </row>
    <row r="7" spans="1:6" s="2" customFormat="1" x14ac:dyDescent="0.3">
      <c r="A7" s="2" t="s">
        <v>11</v>
      </c>
      <c r="B7" s="2" t="s">
        <v>6</v>
      </c>
      <c r="C7" s="2">
        <v>21.71</v>
      </c>
      <c r="D7" s="2">
        <v>82.5</v>
      </c>
      <c r="E7" s="2" t="s">
        <v>142</v>
      </c>
      <c r="F7" s="2" t="s">
        <v>157</v>
      </c>
    </row>
    <row r="8" spans="1:6" s="2" customFormat="1" x14ac:dyDescent="0.3">
      <c r="A8" s="2" t="s">
        <v>12</v>
      </c>
      <c r="B8" s="2" t="s">
        <v>6</v>
      </c>
      <c r="C8" s="2">
        <v>20.43</v>
      </c>
      <c r="D8" s="2">
        <v>82.5</v>
      </c>
      <c r="E8" s="2" t="s">
        <v>142</v>
      </c>
      <c r="F8" s="2" t="s">
        <v>158</v>
      </c>
    </row>
    <row r="9" spans="1:6" s="2" customFormat="1" x14ac:dyDescent="0.3">
      <c r="A9" s="2" t="s">
        <v>13</v>
      </c>
      <c r="B9" s="2" t="s">
        <v>6</v>
      </c>
      <c r="C9" s="2">
        <v>20.32</v>
      </c>
      <c r="D9" s="2">
        <v>82.5</v>
      </c>
      <c r="E9" s="2" t="s">
        <v>142</v>
      </c>
      <c r="F9" s="2" t="s">
        <v>158</v>
      </c>
    </row>
    <row r="10" spans="1:6" s="2" customFormat="1" x14ac:dyDescent="0.3">
      <c r="A10" s="2" t="s">
        <v>69</v>
      </c>
      <c r="B10" s="2" t="s">
        <v>6</v>
      </c>
      <c r="C10" s="2">
        <v>20.350000000000001</v>
      </c>
      <c r="D10" s="2">
        <v>88.5</v>
      </c>
      <c r="E10" s="2" t="s">
        <v>142</v>
      </c>
      <c r="F10" s="2" t="s">
        <v>158</v>
      </c>
    </row>
    <row r="11" spans="1:6" s="2" customFormat="1" x14ac:dyDescent="0.3">
      <c r="A11" s="2" t="s">
        <v>70</v>
      </c>
      <c r="B11" s="2" t="s">
        <v>6</v>
      </c>
      <c r="C11" s="2">
        <v>15.78</v>
      </c>
      <c r="D11" s="2">
        <v>87.5</v>
      </c>
      <c r="E11" s="2" t="s">
        <v>71</v>
      </c>
      <c r="F11" s="2" t="s">
        <v>42</v>
      </c>
    </row>
    <row r="12" spans="1:6" s="2" customFormat="1" x14ac:dyDescent="0.3">
      <c r="A12" s="2" t="s">
        <v>19</v>
      </c>
      <c r="B12" s="2" t="s">
        <v>6</v>
      </c>
      <c r="C12" s="2">
        <v>15.67</v>
      </c>
      <c r="D12" s="2">
        <v>87.5</v>
      </c>
      <c r="E12" s="2" t="s">
        <v>71</v>
      </c>
      <c r="F12" s="2" t="s">
        <v>42</v>
      </c>
    </row>
    <row r="13" spans="1:6" s="2" customFormat="1" x14ac:dyDescent="0.3">
      <c r="A13" s="2" t="s">
        <v>20</v>
      </c>
      <c r="B13" s="2" t="s">
        <v>6</v>
      </c>
      <c r="C13" s="2">
        <v>15.6</v>
      </c>
      <c r="D13" s="2">
        <v>87.5</v>
      </c>
      <c r="E13" s="2" t="s">
        <v>71</v>
      </c>
      <c r="F13" s="2" t="s">
        <v>42</v>
      </c>
    </row>
    <row r="14" spans="1:6" s="2" customFormat="1" x14ac:dyDescent="0.3">
      <c r="A14" s="2" t="s">
        <v>21</v>
      </c>
      <c r="B14" s="2" t="s">
        <v>6</v>
      </c>
      <c r="C14" s="2">
        <v>16.86</v>
      </c>
      <c r="D14" s="2">
        <v>87.5</v>
      </c>
      <c r="E14" s="2" t="s">
        <v>71</v>
      </c>
      <c r="F14" s="2" t="s">
        <v>157</v>
      </c>
    </row>
    <row r="15" spans="1:6" s="2" customFormat="1" x14ac:dyDescent="0.3">
      <c r="A15" s="2" t="s">
        <v>22</v>
      </c>
      <c r="B15" s="2" t="s">
        <v>6</v>
      </c>
      <c r="C15" s="2">
        <v>17.02</v>
      </c>
      <c r="D15" s="2">
        <v>87.5</v>
      </c>
      <c r="E15" s="2" t="s">
        <v>71</v>
      </c>
      <c r="F15" s="2" t="s">
        <v>157</v>
      </c>
    </row>
    <row r="16" spans="1:6" s="2" customFormat="1" x14ac:dyDescent="0.3">
      <c r="A16" s="2" t="s">
        <v>23</v>
      </c>
      <c r="B16" s="2" t="s">
        <v>6</v>
      </c>
      <c r="C16" s="2">
        <v>17</v>
      </c>
      <c r="D16" s="2">
        <v>87.5</v>
      </c>
      <c r="E16" s="2" t="s">
        <v>71</v>
      </c>
      <c r="F16" s="2" t="s">
        <v>157</v>
      </c>
    </row>
    <row r="17" spans="1:6" s="2" customFormat="1" x14ac:dyDescent="0.3">
      <c r="A17" s="2" t="s">
        <v>24</v>
      </c>
      <c r="B17" s="2" t="s">
        <v>6</v>
      </c>
      <c r="C17" s="2">
        <v>16.350000000000001</v>
      </c>
      <c r="D17" s="2">
        <v>87.5</v>
      </c>
      <c r="E17" s="2" t="s">
        <v>71</v>
      </c>
      <c r="F17" s="2" t="s">
        <v>158</v>
      </c>
    </row>
    <row r="18" spans="1:6" s="2" customFormat="1" x14ac:dyDescent="0.3">
      <c r="A18" s="2" t="s">
        <v>25</v>
      </c>
      <c r="B18" s="2" t="s">
        <v>6</v>
      </c>
      <c r="C18" s="2">
        <v>16.170000000000002</v>
      </c>
      <c r="D18" s="2">
        <v>87.5</v>
      </c>
      <c r="E18" s="2" t="s">
        <v>71</v>
      </c>
      <c r="F18" s="2" t="s">
        <v>158</v>
      </c>
    </row>
    <row r="19" spans="1:6" s="2" customFormat="1" x14ac:dyDescent="0.3">
      <c r="A19" s="2" t="s">
        <v>26</v>
      </c>
      <c r="B19" s="2" t="s">
        <v>6</v>
      </c>
      <c r="C19" s="2">
        <v>15.95</v>
      </c>
      <c r="D19" s="2">
        <v>87.5</v>
      </c>
      <c r="E19" s="2" t="s">
        <v>71</v>
      </c>
      <c r="F19" s="2" t="s">
        <v>158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ABAA0-6D30-4B41-88DB-B0901CDF965B}">
  <dimension ref="A1:S45"/>
  <sheetViews>
    <sheetView zoomScale="90" zoomScaleNormal="90" workbookViewId="0">
      <selection activeCell="G33" sqref="G33"/>
    </sheetView>
  </sheetViews>
  <sheetFormatPr defaultColWidth="9" defaultRowHeight="14" x14ac:dyDescent="0.3"/>
  <cols>
    <col min="1" max="1" width="9.58203125" style="12" bestFit="1" customWidth="1"/>
    <col min="2" max="3" width="9" style="12"/>
    <col min="4" max="4" width="12.75" style="12" bestFit="1" customWidth="1"/>
    <col min="5" max="5" width="12.08203125" style="12" bestFit="1" customWidth="1"/>
    <col min="6" max="8" width="9" style="12"/>
    <col min="9" max="9" width="11.5" style="12" bestFit="1" customWidth="1"/>
    <col min="10" max="13" width="9" style="12"/>
    <col min="14" max="14" width="13" style="12" bestFit="1" customWidth="1"/>
    <col min="15" max="17" width="9" style="12"/>
    <col min="18" max="18" width="13" style="12" bestFit="1" customWidth="1"/>
    <col min="19" max="16384" width="9" style="12"/>
  </cols>
  <sheetData>
    <row r="1" spans="1:19" ht="15.5" x14ac:dyDescent="0.3">
      <c r="A1" s="12" t="s">
        <v>61</v>
      </c>
      <c r="B1" s="12" t="s">
        <v>51</v>
      </c>
      <c r="C1" s="12" t="s">
        <v>50</v>
      </c>
      <c r="D1" s="2" t="s">
        <v>159</v>
      </c>
      <c r="F1" s="5" t="s">
        <v>114</v>
      </c>
      <c r="G1" s="6">
        <v>1</v>
      </c>
      <c r="H1" s="6">
        <v>2</v>
      </c>
      <c r="I1" s="6">
        <v>3</v>
      </c>
      <c r="J1" s="6">
        <v>4</v>
      </c>
      <c r="K1" s="6">
        <v>5</v>
      </c>
      <c r="L1" s="6">
        <v>6</v>
      </c>
      <c r="M1" s="6">
        <v>7</v>
      </c>
      <c r="N1" s="6">
        <v>8</v>
      </c>
      <c r="O1" s="6">
        <v>9</v>
      </c>
      <c r="P1" s="6">
        <v>10</v>
      </c>
      <c r="Q1" s="6">
        <v>11</v>
      </c>
      <c r="R1" s="6">
        <v>12</v>
      </c>
      <c r="S1" s="6"/>
    </row>
    <row r="2" spans="1:19" x14ac:dyDescent="0.3">
      <c r="A2" s="12" t="s">
        <v>65</v>
      </c>
      <c r="B2" s="12">
        <v>0.13300000000000001</v>
      </c>
      <c r="C2" s="12">
        <v>0.41349999999999998</v>
      </c>
      <c r="D2" s="12">
        <v>0.40570000000000001</v>
      </c>
      <c r="F2" s="6" t="s">
        <v>52</v>
      </c>
      <c r="G2" s="6">
        <v>3.7999999999999999E-2</v>
      </c>
      <c r="H2" s="6">
        <v>4.1300000000000003E-2</v>
      </c>
      <c r="I2" s="6">
        <v>3.3099999999999997E-2</v>
      </c>
      <c r="J2" s="6">
        <v>3.6700000000000003E-2</v>
      </c>
      <c r="K2" s="6">
        <v>4.9599999999999998E-2</v>
      </c>
      <c r="L2" s="6">
        <v>4.07E-2</v>
      </c>
      <c r="M2" s="6">
        <v>3.5299999999999998E-2</v>
      </c>
      <c r="N2" s="6">
        <v>3.8899999999999997E-2</v>
      </c>
      <c r="O2" s="6">
        <v>3.4299999999999997E-2</v>
      </c>
      <c r="P2" s="6">
        <v>3.8399999999999997E-2</v>
      </c>
      <c r="Q2" s="6">
        <v>3.6799999999999999E-2</v>
      </c>
      <c r="R2" s="6">
        <v>5.0200000000000002E-2</v>
      </c>
      <c r="S2" s="6"/>
    </row>
    <row r="3" spans="1:19" x14ac:dyDescent="0.3">
      <c r="B3" s="12">
        <v>0.14000000000000001</v>
      </c>
      <c r="C3" s="12">
        <v>0.44779999999999998</v>
      </c>
      <c r="D3" s="12">
        <v>0.43369999999999997</v>
      </c>
      <c r="F3" s="6" t="s">
        <v>53</v>
      </c>
      <c r="G3" s="6">
        <v>3.6600000000000001E-2</v>
      </c>
      <c r="H3" s="6">
        <v>3.5000000000000003E-2</v>
      </c>
      <c r="I3" s="6">
        <v>4.1300000000000003E-2</v>
      </c>
      <c r="J3" s="7">
        <v>0.13300000000000001</v>
      </c>
      <c r="K3" s="7">
        <v>0.41349999999999998</v>
      </c>
      <c r="L3" s="7">
        <v>0.40570000000000001</v>
      </c>
      <c r="M3" s="8">
        <v>0.14860000000000001</v>
      </c>
      <c r="N3" s="8">
        <v>0.72770000000000001</v>
      </c>
      <c r="O3" s="8">
        <v>0.62880000000000003</v>
      </c>
      <c r="P3" s="6">
        <v>3.4599999999999999E-2</v>
      </c>
      <c r="Q3" s="6">
        <v>4.6300000000000001E-2</v>
      </c>
      <c r="R3" s="6">
        <v>3.9800000000000002E-2</v>
      </c>
      <c r="S3" s="6"/>
    </row>
    <row r="4" spans="1:19" x14ac:dyDescent="0.3">
      <c r="B4" s="12">
        <v>0.1351</v>
      </c>
      <c r="C4" s="12">
        <v>0.42330000000000001</v>
      </c>
      <c r="D4" s="12">
        <v>0.43070000000000003</v>
      </c>
      <c r="F4" s="6" t="s">
        <v>54</v>
      </c>
      <c r="G4" s="6">
        <v>4.5699999999999998E-2</v>
      </c>
      <c r="H4" s="6">
        <v>3.4099999999999998E-2</v>
      </c>
      <c r="I4" s="6">
        <v>3.9E-2</v>
      </c>
      <c r="J4" s="7">
        <v>0.14000000000000001</v>
      </c>
      <c r="K4" s="7">
        <v>0.44779999999999998</v>
      </c>
      <c r="L4" s="7">
        <v>0.43369999999999997</v>
      </c>
      <c r="M4" s="8">
        <v>0.13669999999999999</v>
      </c>
      <c r="N4" s="8">
        <v>0.75070000000000003</v>
      </c>
      <c r="O4" s="8">
        <v>0.63819999999999999</v>
      </c>
      <c r="P4" s="6">
        <v>4.6399999999999997E-2</v>
      </c>
      <c r="Q4" s="6">
        <v>4.24E-2</v>
      </c>
      <c r="R4" s="6">
        <v>4.4299999999999999E-2</v>
      </c>
      <c r="S4" s="6"/>
    </row>
    <row r="5" spans="1:19" x14ac:dyDescent="0.3">
      <c r="B5" s="12">
        <f>AVERAGE(B2:B4)</f>
        <v>0.13603333333333334</v>
      </c>
      <c r="F5" s="6" t="s">
        <v>55</v>
      </c>
      <c r="G5" s="6">
        <v>4.1200000000000001E-2</v>
      </c>
      <c r="H5" s="6">
        <v>3.5900000000000001E-2</v>
      </c>
      <c r="I5" s="6">
        <v>3.3399999999999999E-2</v>
      </c>
      <c r="J5" s="7">
        <v>0.1351</v>
      </c>
      <c r="K5" s="7">
        <v>0.42330000000000001</v>
      </c>
      <c r="L5" s="7">
        <v>0.43070000000000003</v>
      </c>
      <c r="M5" s="8">
        <v>0.14280000000000001</v>
      </c>
      <c r="N5" s="8">
        <v>0.74250000000000005</v>
      </c>
      <c r="O5" s="8">
        <v>0.61360000000000003</v>
      </c>
      <c r="P5" s="6">
        <v>3.4500000000000003E-2</v>
      </c>
      <c r="Q5" s="6">
        <v>3.78E-2</v>
      </c>
      <c r="R5" s="6">
        <v>3.9100000000000003E-2</v>
      </c>
      <c r="S5" s="6"/>
    </row>
    <row r="6" spans="1:19" x14ac:dyDescent="0.3">
      <c r="A6" s="12" t="s">
        <v>68</v>
      </c>
      <c r="C6" s="17">
        <f t="shared" ref="C6:D8" si="0">C2-$B$5</f>
        <v>0.27746666666666664</v>
      </c>
      <c r="D6" s="17">
        <f t="shared" si="0"/>
        <v>0.26966666666666667</v>
      </c>
      <c r="F6" s="6" t="s">
        <v>56</v>
      </c>
      <c r="G6" s="6">
        <v>3.2800000000000003E-2</v>
      </c>
      <c r="H6" s="6">
        <v>4.3299999999999998E-2</v>
      </c>
      <c r="I6" s="6">
        <v>5.0500000000000003E-2</v>
      </c>
      <c r="J6" s="9">
        <v>0.14349999999999999</v>
      </c>
      <c r="K6" s="9">
        <v>0.95350000000000001</v>
      </c>
      <c r="L6" s="9">
        <v>0.77649999999999997</v>
      </c>
      <c r="M6" s="10">
        <v>0.13769999999999999</v>
      </c>
      <c r="N6" s="10">
        <v>1.2290000000000001</v>
      </c>
      <c r="O6" s="10">
        <v>0.84460000000000002</v>
      </c>
      <c r="P6" s="6">
        <v>4.9399999999999999E-2</v>
      </c>
      <c r="Q6" s="6">
        <v>4.2700000000000002E-2</v>
      </c>
      <c r="R6" s="6">
        <v>4.3799999999999999E-2</v>
      </c>
      <c r="S6" s="6"/>
    </row>
    <row r="7" spans="1:19" x14ac:dyDescent="0.3">
      <c r="C7" s="17">
        <f t="shared" si="0"/>
        <v>0.31176666666666664</v>
      </c>
      <c r="D7" s="17">
        <f t="shared" si="0"/>
        <v>0.29766666666666663</v>
      </c>
      <c r="F7" s="6" t="s">
        <v>57</v>
      </c>
      <c r="G7" s="6">
        <v>3.3700000000000001E-2</v>
      </c>
      <c r="H7" s="6">
        <v>4.9099999999999998E-2</v>
      </c>
      <c r="I7" s="6">
        <v>3.4599999999999999E-2</v>
      </c>
      <c r="J7" s="9">
        <v>0.1477</v>
      </c>
      <c r="K7" s="9">
        <v>0.97519999999999996</v>
      </c>
      <c r="L7" s="9">
        <v>0.74790000000000001</v>
      </c>
      <c r="M7" s="10">
        <v>0.14280000000000001</v>
      </c>
      <c r="N7" s="10">
        <v>1.1735</v>
      </c>
      <c r="O7" s="10">
        <v>0.89649999999999996</v>
      </c>
      <c r="P7" s="6">
        <v>4.1099999999999998E-2</v>
      </c>
      <c r="Q7" s="6">
        <v>4.8500000000000001E-2</v>
      </c>
      <c r="R7" s="6">
        <v>4.4299999999999999E-2</v>
      </c>
      <c r="S7" s="6"/>
    </row>
    <row r="8" spans="1:19" x14ac:dyDescent="0.3">
      <c r="C8" s="17">
        <f t="shared" si="0"/>
        <v>0.28726666666666667</v>
      </c>
      <c r="D8" s="17">
        <f t="shared" si="0"/>
        <v>0.29466666666666669</v>
      </c>
      <c r="F8" s="6" t="s">
        <v>58</v>
      </c>
      <c r="G8" s="6">
        <v>4.8300000000000003E-2</v>
      </c>
      <c r="H8" s="6">
        <v>4.2799999999999998E-2</v>
      </c>
      <c r="I8" s="6">
        <v>3.6600000000000001E-2</v>
      </c>
      <c r="J8" s="9">
        <v>0.13539999999999999</v>
      </c>
      <c r="K8" s="9">
        <v>0.94850000000000001</v>
      </c>
      <c r="L8" s="9">
        <v>0.73670000000000002</v>
      </c>
      <c r="M8" s="10">
        <v>0.14979999999999999</v>
      </c>
      <c r="N8" s="10">
        <v>1.2035</v>
      </c>
      <c r="O8" s="10">
        <v>0.88139999999999996</v>
      </c>
      <c r="P8" s="6">
        <v>4.4200000000000003E-2</v>
      </c>
      <c r="Q8" s="6">
        <v>3.5499999999999997E-2</v>
      </c>
      <c r="R8" s="6">
        <v>3.9199999999999999E-2</v>
      </c>
      <c r="S8" s="6"/>
    </row>
    <row r="9" spans="1:19" x14ac:dyDescent="0.3">
      <c r="F9" s="6" t="s">
        <v>59</v>
      </c>
      <c r="G9" s="6">
        <v>3.9699999999999999E-2</v>
      </c>
      <c r="H9" s="6">
        <v>4.6800000000000001E-2</v>
      </c>
      <c r="I9" s="6">
        <v>4.2799999999999998E-2</v>
      </c>
      <c r="J9" s="6">
        <v>5.0599999999999999E-2</v>
      </c>
      <c r="K9" s="6">
        <v>3.4700000000000002E-2</v>
      </c>
      <c r="L9" s="6">
        <v>3.3300000000000003E-2</v>
      </c>
      <c r="M9" s="6">
        <v>3.85E-2</v>
      </c>
      <c r="N9" s="6">
        <v>5.1999999999999998E-2</v>
      </c>
      <c r="O9" s="6">
        <v>3.6700000000000003E-2</v>
      </c>
      <c r="P9" s="6">
        <v>3.4599999999999999E-2</v>
      </c>
      <c r="Q9" s="6">
        <v>3.8399999999999997E-2</v>
      </c>
      <c r="R9" s="6">
        <v>4.8099999999999997E-2</v>
      </c>
      <c r="S9" s="6"/>
    </row>
    <row r="10" spans="1:19" x14ac:dyDescent="0.3">
      <c r="A10" s="12" t="s">
        <v>62</v>
      </c>
      <c r="B10" s="12" t="s">
        <v>51</v>
      </c>
      <c r="C10" s="12" t="s">
        <v>50</v>
      </c>
      <c r="D10" s="2" t="s">
        <v>159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3">
      <c r="A11" s="12" t="s">
        <v>65</v>
      </c>
      <c r="B11" s="12">
        <v>0.14860000000000001</v>
      </c>
      <c r="C11" s="12">
        <v>0.72770000000000001</v>
      </c>
      <c r="D11" s="12">
        <v>0.62880000000000003</v>
      </c>
      <c r="F11" s="6"/>
      <c r="G11" s="6"/>
      <c r="H11" s="6"/>
      <c r="I11" s="6"/>
      <c r="J11" s="6" t="s">
        <v>60</v>
      </c>
      <c r="K11" s="11" t="s">
        <v>42</v>
      </c>
      <c r="L11" s="2" t="s">
        <v>157</v>
      </c>
      <c r="M11" s="6" t="s">
        <v>60</v>
      </c>
      <c r="N11" s="11" t="s">
        <v>42</v>
      </c>
      <c r="O11" s="2" t="s">
        <v>157</v>
      </c>
      <c r="P11" s="6"/>
      <c r="Q11" s="11"/>
      <c r="R11" s="11"/>
      <c r="S11" s="6"/>
    </row>
    <row r="12" spans="1:19" x14ac:dyDescent="0.3">
      <c r="B12" s="12">
        <v>0.13669999999999999</v>
      </c>
      <c r="C12" s="12">
        <v>0.75070000000000003</v>
      </c>
      <c r="D12" s="12">
        <v>0.63819999999999999</v>
      </c>
      <c r="F12" s="6"/>
      <c r="G12" s="6"/>
      <c r="H12" s="6"/>
      <c r="I12" s="6"/>
      <c r="J12" s="22" t="s">
        <v>61</v>
      </c>
      <c r="K12" s="22"/>
      <c r="L12" s="22"/>
      <c r="M12" s="22" t="s">
        <v>62</v>
      </c>
      <c r="N12" s="22"/>
      <c r="O12" s="22"/>
      <c r="P12" s="6"/>
      <c r="Q12" s="6"/>
      <c r="R12" s="6"/>
      <c r="S12" s="6"/>
    </row>
    <row r="13" spans="1:19" x14ac:dyDescent="0.3">
      <c r="B13" s="12">
        <v>0.14280000000000001</v>
      </c>
      <c r="C13" s="12">
        <v>0.74250000000000005</v>
      </c>
      <c r="D13" s="12">
        <v>0.61360000000000003</v>
      </c>
      <c r="F13" s="6"/>
      <c r="G13" s="6"/>
      <c r="H13" s="6"/>
      <c r="I13" s="6"/>
      <c r="J13" s="22" t="s">
        <v>63</v>
      </c>
      <c r="K13" s="22"/>
      <c r="L13" s="22"/>
      <c r="M13" s="22" t="s">
        <v>64</v>
      </c>
      <c r="N13" s="22"/>
      <c r="O13" s="22"/>
      <c r="P13" s="6"/>
      <c r="Q13" s="6"/>
      <c r="R13" s="6"/>
      <c r="S13" s="6"/>
    </row>
    <row r="14" spans="1:19" x14ac:dyDescent="0.3">
      <c r="B14" s="12">
        <f>AVERAGE(B11:B13)</f>
        <v>0.14270000000000002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x14ac:dyDescent="0.3">
      <c r="A15" s="12" t="s">
        <v>68</v>
      </c>
      <c r="C15" s="17">
        <f>C11-$B$14</f>
        <v>0.58499999999999996</v>
      </c>
      <c r="D15" s="17">
        <f>D11-$B$14</f>
        <v>0.48609999999999998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x14ac:dyDescent="0.3">
      <c r="C16" s="17">
        <f t="shared" ref="C16:D17" si="1">C12-$B$14</f>
        <v>0.60799999999999998</v>
      </c>
      <c r="D16" s="17">
        <f t="shared" si="1"/>
        <v>0.49549999999999994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2" x14ac:dyDescent="0.3">
      <c r="C17" s="17">
        <f t="shared" si="1"/>
        <v>0.5998</v>
      </c>
      <c r="D17" s="17">
        <f>D13-$B$14</f>
        <v>0.47089999999999999</v>
      </c>
    </row>
    <row r="19" spans="1:12" x14ac:dyDescent="0.3">
      <c r="A19" s="12" t="s">
        <v>63</v>
      </c>
      <c r="B19" s="12" t="s">
        <v>51</v>
      </c>
      <c r="C19" s="12" t="s">
        <v>50</v>
      </c>
      <c r="D19" s="2" t="s">
        <v>159</v>
      </c>
      <c r="L19" s="13"/>
    </row>
    <row r="20" spans="1:12" x14ac:dyDescent="0.3">
      <c r="A20" s="12" t="s">
        <v>65</v>
      </c>
      <c r="B20" s="12">
        <v>0.14349999999999999</v>
      </c>
      <c r="C20" s="12">
        <v>0.95350000000000001</v>
      </c>
      <c r="D20" s="12">
        <v>0.77649999999999997</v>
      </c>
    </row>
    <row r="21" spans="1:12" x14ac:dyDescent="0.3">
      <c r="B21" s="12">
        <v>0.1477</v>
      </c>
      <c r="C21" s="12">
        <v>0.97519999999999996</v>
      </c>
      <c r="D21" s="12">
        <v>0.74790000000000001</v>
      </c>
    </row>
    <row r="22" spans="1:12" x14ac:dyDescent="0.3">
      <c r="B22" s="12">
        <v>0.13539999999999999</v>
      </c>
      <c r="C22" s="12">
        <v>0.94850000000000001</v>
      </c>
      <c r="D22" s="12">
        <v>0.73670000000000002</v>
      </c>
    </row>
    <row r="23" spans="1:12" x14ac:dyDescent="0.3">
      <c r="B23" s="12">
        <f>AVERAGE(B20:B22)</f>
        <v>0.14219999999999999</v>
      </c>
    </row>
    <row r="24" spans="1:12" x14ac:dyDescent="0.3">
      <c r="A24" s="12" t="s">
        <v>68</v>
      </c>
      <c r="C24" s="17">
        <f>C20-$B$23</f>
        <v>0.81130000000000002</v>
      </c>
      <c r="D24" s="17">
        <f>D20-$B$23</f>
        <v>0.63429999999999997</v>
      </c>
    </row>
    <row r="25" spans="1:12" x14ac:dyDescent="0.3">
      <c r="C25" s="17">
        <f t="shared" ref="C25:D26" si="2">C21-$B$23</f>
        <v>0.83299999999999996</v>
      </c>
      <c r="D25" s="17">
        <f t="shared" si="2"/>
        <v>0.60570000000000002</v>
      </c>
    </row>
    <row r="26" spans="1:12" x14ac:dyDescent="0.3">
      <c r="C26" s="17">
        <f t="shared" si="2"/>
        <v>0.80630000000000002</v>
      </c>
      <c r="D26" s="17">
        <f t="shared" si="2"/>
        <v>0.59450000000000003</v>
      </c>
    </row>
    <row r="29" spans="1:12" x14ac:dyDescent="0.3">
      <c r="A29" s="12" t="s">
        <v>64</v>
      </c>
      <c r="B29" s="12" t="s">
        <v>51</v>
      </c>
      <c r="C29" s="12" t="s">
        <v>50</v>
      </c>
      <c r="D29" s="2" t="s">
        <v>159</v>
      </c>
      <c r="L29" s="13"/>
    </row>
    <row r="30" spans="1:12" x14ac:dyDescent="0.3">
      <c r="A30" s="12" t="s">
        <v>65</v>
      </c>
      <c r="B30" s="12">
        <v>0.13769999999999999</v>
      </c>
      <c r="C30" s="12">
        <v>1.2290000000000001</v>
      </c>
      <c r="D30" s="12">
        <v>0.84460000000000002</v>
      </c>
    </row>
    <row r="31" spans="1:12" x14ac:dyDescent="0.3">
      <c r="B31" s="12">
        <v>0.14280000000000001</v>
      </c>
      <c r="C31" s="12">
        <v>1.1735</v>
      </c>
      <c r="D31" s="12">
        <v>0.89649999999999996</v>
      </c>
    </row>
    <row r="32" spans="1:12" x14ac:dyDescent="0.3">
      <c r="B32" s="12">
        <v>0.14979999999999999</v>
      </c>
      <c r="C32" s="12">
        <v>1.2035</v>
      </c>
      <c r="D32" s="12">
        <v>0.88139999999999996</v>
      </c>
    </row>
    <row r="33" spans="1:17" x14ac:dyDescent="0.3">
      <c r="B33" s="12">
        <f>AVERAGE(B30:B32)</f>
        <v>0.14343333333333333</v>
      </c>
    </row>
    <row r="34" spans="1:17" x14ac:dyDescent="0.3">
      <c r="A34" s="12" t="s">
        <v>68</v>
      </c>
      <c r="C34" s="17">
        <f>C30-$B$33</f>
        <v>1.0855666666666668</v>
      </c>
      <c r="D34" s="17">
        <f>D30-$B$33</f>
        <v>0.70116666666666672</v>
      </c>
    </row>
    <row r="35" spans="1:17" x14ac:dyDescent="0.3">
      <c r="C35" s="17">
        <f t="shared" ref="C35:D36" si="3">C31-$B$33</f>
        <v>1.0300666666666667</v>
      </c>
      <c r="D35" s="17">
        <f t="shared" si="3"/>
        <v>0.75306666666666666</v>
      </c>
    </row>
    <row r="36" spans="1:17" x14ac:dyDescent="0.3">
      <c r="C36" s="17">
        <f t="shared" si="3"/>
        <v>1.0600666666666667</v>
      </c>
      <c r="D36" s="17">
        <f t="shared" si="3"/>
        <v>0.73796666666666666</v>
      </c>
    </row>
    <row r="38" spans="1:17" x14ac:dyDescent="0.3">
      <c r="B38" s="12" t="s">
        <v>65</v>
      </c>
      <c r="C38" s="21" t="s">
        <v>50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7" x14ac:dyDescent="0.3">
      <c r="B39" s="12" t="s">
        <v>61</v>
      </c>
      <c r="C39" s="18">
        <f>C6</f>
        <v>0.27746666666666664</v>
      </c>
      <c r="D39" s="18">
        <f>C7</f>
        <v>0.31176666666666664</v>
      </c>
      <c r="E39" s="18">
        <f>C8</f>
        <v>0.28726666666666667</v>
      </c>
      <c r="F39" s="18">
        <f>D7</f>
        <v>0.29766666666666663</v>
      </c>
      <c r="G39" s="18">
        <f>D8</f>
        <v>0.29466666666666669</v>
      </c>
      <c r="H39" s="14"/>
      <c r="I39" s="14"/>
      <c r="J39" s="14"/>
      <c r="K39" s="14"/>
      <c r="L39" s="14"/>
      <c r="M39" s="14"/>
      <c r="N39" s="14"/>
      <c r="O39" s="14"/>
      <c r="P39" s="14"/>
      <c r="Q39" s="15"/>
    </row>
    <row r="40" spans="1:17" x14ac:dyDescent="0.3">
      <c r="B40" s="12" t="s">
        <v>62</v>
      </c>
      <c r="C40" s="18">
        <f>C15</f>
        <v>0.58499999999999996</v>
      </c>
      <c r="D40" s="18">
        <f>C16</f>
        <v>0.60799999999999998</v>
      </c>
      <c r="E40" s="18">
        <f>C17</f>
        <v>0.5998</v>
      </c>
      <c r="F40" s="18">
        <f>D16</f>
        <v>0.49549999999999994</v>
      </c>
      <c r="G40" s="18">
        <f>D17</f>
        <v>0.47089999999999999</v>
      </c>
      <c r="H40" s="14"/>
      <c r="I40" s="14"/>
      <c r="J40" s="14"/>
      <c r="K40" s="14"/>
      <c r="L40" s="14"/>
      <c r="M40" s="14"/>
      <c r="N40" s="14"/>
      <c r="O40" s="14"/>
      <c r="P40" s="14"/>
      <c r="Q40" s="15"/>
    </row>
    <row r="41" spans="1:17" x14ac:dyDescent="0.3">
      <c r="B41" s="12" t="s">
        <v>66</v>
      </c>
      <c r="C41" s="18">
        <f>C24</f>
        <v>0.81130000000000002</v>
      </c>
      <c r="D41" s="18">
        <f>C25</f>
        <v>0.83299999999999996</v>
      </c>
      <c r="E41" s="18">
        <f>C26</f>
        <v>0.80630000000000002</v>
      </c>
      <c r="F41" s="18">
        <f>D25</f>
        <v>0.60570000000000002</v>
      </c>
      <c r="G41" s="18">
        <f>D26</f>
        <v>0.59450000000000003</v>
      </c>
      <c r="H41" s="14"/>
      <c r="I41" s="14"/>
      <c r="J41" s="14"/>
      <c r="K41" s="14"/>
      <c r="L41" s="14"/>
      <c r="M41" s="14"/>
      <c r="N41" s="14"/>
      <c r="O41" s="14"/>
      <c r="P41" s="14"/>
      <c r="Q41" s="15"/>
    </row>
    <row r="42" spans="1:17" x14ac:dyDescent="0.3">
      <c r="B42" s="12" t="s">
        <v>67</v>
      </c>
      <c r="C42" s="18">
        <f>C34</f>
        <v>1.0855666666666668</v>
      </c>
      <c r="D42" s="18">
        <f>C35</f>
        <v>1.0300666666666667</v>
      </c>
      <c r="E42" s="18">
        <f>C36</f>
        <v>1.0600666666666667</v>
      </c>
      <c r="F42" s="18">
        <f>D35</f>
        <v>0.75306666666666666</v>
      </c>
      <c r="G42" s="18">
        <f>D36</f>
        <v>0.73796666666666666</v>
      </c>
      <c r="H42" s="14"/>
      <c r="I42" s="14"/>
      <c r="J42" s="14"/>
      <c r="K42" s="14"/>
      <c r="L42" s="14"/>
      <c r="M42" s="14"/>
      <c r="N42" s="14"/>
      <c r="O42" s="14"/>
      <c r="P42" s="14"/>
      <c r="Q42" s="15"/>
    </row>
    <row r="43" spans="1:17" x14ac:dyDescent="0.3">
      <c r="Q43" s="15"/>
    </row>
    <row r="44" spans="1:17" x14ac:dyDescent="0.3">
      <c r="Q44" s="15"/>
    </row>
    <row r="45" spans="1:17" x14ac:dyDescent="0.3"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</row>
  </sheetData>
  <mergeCells count="13">
    <mergeCell ref="J12:L12"/>
    <mergeCell ref="M12:O12"/>
    <mergeCell ref="J13:L13"/>
    <mergeCell ref="M13:O13"/>
    <mergeCell ref="N38:P38"/>
    <mergeCell ref="C45:E45"/>
    <mergeCell ref="F45:G45"/>
    <mergeCell ref="H45:J45"/>
    <mergeCell ref="K45:M45"/>
    <mergeCell ref="C38:E38"/>
    <mergeCell ref="F38:G38"/>
    <mergeCell ref="H38:J38"/>
    <mergeCell ref="K38:M38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511F-C8E4-4E24-A2E3-45964B8EB239}">
  <dimension ref="A1:S45"/>
  <sheetViews>
    <sheetView zoomScale="90" zoomScaleNormal="90" workbookViewId="0">
      <selection activeCell="H34" sqref="H34"/>
    </sheetView>
  </sheetViews>
  <sheetFormatPr defaultColWidth="9" defaultRowHeight="14" x14ac:dyDescent="0.3"/>
  <cols>
    <col min="1" max="1" width="9.58203125" style="12" bestFit="1" customWidth="1"/>
    <col min="2" max="3" width="9" style="12"/>
    <col min="4" max="4" width="12.75" style="12" bestFit="1" customWidth="1"/>
    <col min="5" max="5" width="12.08203125" style="12" bestFit="1" customWidth="1"/>
    <col min="6" max="6" width="11.5" style="12" customWidth="1"/>
    <col min="7" max="9" width="9" style="12"/>
    <col min="10" max="10" width="11.5" style="12" bestFit="1" customWidth="1"/>
    <col min="11" max="14" width="9" style="12"/>
    <col min="15" max="15" width="13" style="12" bestFit="1" customWidth="1"/>
    <col min="16" max="18" width="9" style="12"/>
    <col min="19" max="19" width="13" style="12" bestFit="1" customWidth="1"/>
    <col min="20" max="16384" width="9" style="12"/>
  </cols>
  <sheetData>
    <row r="1" spans="1:19" x14ac:dyDescent="0.3">
      <c r="A1" s="12" t="s">
        <v>61</v>
      </c>
      <c r="B1" s="12" t="s">
        <v>51</v>
      </c>
      <c r="C1" s="12" t="s">
        <v>50</v>
      </c>
      <c r="D1" s="2" t="s">
        <v>156</v>
      </c>
      <c r="F1" s="2" t="s">
        <v>101</v>
      </c>
      <c r="G1" s="6">
        <v>1</v>
      </c>
      <c r="H1" s="6">
        <v>2</v>
      </c>
      <c r="I1" s="6">
        <v>3</v>
      </c>
      <c r="J1" s="6">
        <v>4</v>
      </c>
      <c r="K1" s="6">
        <v>5</v>
      </c>
      <c r="L1" s="6">
        <v>6</v>
      </c>
      <c r="M1" s="6">
        <v>7</v>
      </c>
      <c r="N1" s="6">
        <v>8</v>
      </c>
      <c r="O1" s="6">
        <v>9</v>
      </c>
      <c r="P1" s="6">
        <v>10</v>
      </c>
      <c r="Q1" s="6">
        <v>11</v>
      </c>
      <c r="R1" s="6">
        <v>12</v>
      </c>
      <c r="S1" s="6"/>
    </row>
    <row r="2" spans="1:19" x14ac:dyDescent="0.3">
      <c r="A2" s="12" t="s">
        <v>65</v>
      </c>
      <c r="B2" s="12">
        <v>0.14280000000000001</v>
      </c>
      <c r="C2" s="12">
        <v>0.3478</v>
      </c>
      <c r="D2" s="12">
        <v>0.32450000000000001</v>
      </c>
      <c r="F2" s="6" t="s">
        <v>52</v>
      </c>
      <c r="G2" s="6">
        <v>3.5499999999999997E-2</v>
      </c>
      <c r="H2" s="6">
        <v>4.6699999999999998E-2</v>
      </c>
      <c r="I2" s="6">
        <v>3.56E-2</v>
      </c>
      <c r="J2" s="6">
        <v>3.73E-2</v>
      </c>
      <c r="K2" s="6">
        <v>3.78E-2</v>
      </c>
      <c r="L2" s="6">
        <v>3.8300000000000001E-2</v>
      </c>
      <c r="M2" s="6">
        <v>4.6600000000000003E-2</v>
      </c>
      <c r="N2" s="6">
        <v>5.0200000000000002E-2</v>
      </c>
      <c r="O2" s="6">
        <v>3.5499999999999997E-2</v>
      </c>
      <c r="P2" s="6">
        <v>3.73E-2</v>
      </c>
      <c r="Q2" s="6">
        <v>3.3599999999999998E-2</v>
      </c>
      <c r="R2" s="6">
        <v>3.2399999999999998E-2</v>
      </c>
      <c r="S2" s="6"/>
    </row>
    <row r="3" spans="1:19" x14ac:dyDescent="0.3">
      <c r="B3" s="12">
        <v>0.13469999999999999</v>
      </c>
      <c r="C3" s="12">
        <v>0.37740000000000001</v>
      </c>
      <c r="D3" s="12">
        <v>0.35980000000000001</v>
      </c>
      <c r="F3" s="6" t="s">
        <v>53</v>
      </c>
      <c r="G3" s="6">
        <v>4.99E-2</v>
      </c>
      <c r="H3" s="6">
        <v>4.1700000000000001E-2</v>
      </c>
      <c r="I3" s="6">
        <v>5.16E-2</v>
      </c>
      <c r="J3" s="7">
        <v>0.14280000000000001</v>
      </c>
      <c r="K3" s="7">
        <v>0.3478</v>
      </c>
      <c r="L3" s="7">
        <v>0.32450000000000001</v>
      </c>
      <c r="M3" s="8">
        <v>0.13489999999999999</v>
      </c>
      <c r="N3" s="8">
        <v>0.65229999999999999</v>
      </c>
      <c r="O3" s="8">
        <v>0.47489999999999999</v>
      </c>
      <c r="P3" s="6">
        <v>3.3799999999999997E-2</v>
      </c>
      <c r="Q3" s="6">
        <v>4.5999999999999999E-2</v>
      </c>
      <c r="R3" s="6">
        <v>4.1399999999999999E-2</v>
      </c>
      <c r="S3" s="6"/>
    </row>
    <row r="4" spans="1:19" x14ac:dyDescent="0.3">
      <c r="B4" s="12">
        <v>0.14149999999999999</v>
      </c>
      <c r="C4" s="12">
        <v>0.35630000000000001</v>
      </c>
      <c r="D4" s="12">
        <v>0.36009999999999998</v>
      </c>
      <c r="F4" s="6" t="s">
        <v>54</v>
      </c>
      <c r="G4" s="6">
        <v>3.7499999999999999E-2</v>
      </c>
      <c r="H4" s="6">
        <v>3.44E-2</v>
      </c>
      <c r="I4" s="6">
        <v>4.4400000000000002E-2</v>
      </c>
      <c r="J4" s="7">
        <v>0.13469999999999999</v>
      </c>
      <c r="K4" s="7">
        <v>0.37740000000000001</v>
      </c>
      <c r="L4" s="7">
        <v>0.35980000000000001</v>
      </c>
      <c r="M4" s="8">
        <v>0.14069999999999999</v>
      </c>
      <c r="N4" s="8">
        <v>0.66679999999999995</v>
      </c>
      <c r="O4" s="8">
        <v>0.49469999999999997</v>
      </c>
      <c r="P4" s="6">
        <v>5.2200000000000003E-2</v>
      </c>
      <c r="Q4" s="6">
        <v>3.61E-2</v>
      </c>
      <c r="R4" s="6">
        <v>3.8399999999999997E-2</v>
      </c>
      <c r="S4" s="6"/>
    </row>
    <row r="5" spans="1:19" x14ac:dyDescent="0.3">
      <c r="B5" s="12">
        <f>AVERAGE(B2:B4)</f>
        <v>0.13966666666666663</v>
      </c>
      <c r="F5" s="6" t="s">
        <v>55</v>
      </c>
      <c r="G5" s="6">
        <v>3.5799999999999998E-2</v>
      </c>
      <c r="H5" s="6">
        <v>4.7300000000000002E-2</v>
      </c>
      <c r="I5" s="6">
        <v>3.3099999999999997E-2</v>
      </c>
      <c r="J5" s="7">
        <v>0.14149999999999999</v>
      </c>
      <c r="K5" s="7">
        <v>0.35630000000000001</v>
      </c>
      <c r="L5" s="7">
        <v>0.36009999999999998</v>
      </c>
      <c r="M5" s="8">
        <v>0.1457</v>
      </c>
      <c r="N5" s="8">
        <v>0.63790000000000002</v>
      </c>
      <c r="O5" s="8">
        <v>0.45939999999999998</v>
      </c>
      <c r="P5" s="6">
        <v>4.3200000000000002E-2</v>
      </c>
      <c r="Q5" s="6">
        <v>4.4200000000000003E-2</v>
      </c>
      <c r="R5" s="6">
        <v>5.2299999999999999E-2</v>
      </c>
      <c r="S5" s="6"/>
    </row>
    <row r="6" spans="1:19" x14ac:dyDescent="0.3">
      <c r="A6" s="12" t="s">
        <v>68</v>
      </c>
      <c r="C6" s="17">
        <f t="shared" ref="C6:D8" si="0">C2-$B$5</f>
        <v>0.20813333333333336</v>
      </c>
      <c r="D6" s="17">
        <f t="shared" si="0"/>
        <v>0.18483333333333338</v>
      </c>
      <c r="F6" s="6" t="s">
        <v>56</v>
      </c>
      <c r="G6" s="6">
        <v>4.41E-2</v>
      </c>
      <c r="H6" s="6">
        <v>4.3099999999999999E-2</v>
      </c>
      <c r="I6" s="6">
        <v>4.36E-2</v>
      </c>
      <c r="J6" s="9">
        <v>0.13519999999999999</v>
      </c>
      <c r="K6" s="9">
        <v>0.96360000000000001</v>
      </c>
      <c r="L6" s="9">
        <v>0.57530000000000003</v>
      </c>
      <c r="M6" s="10">
        <v>0.1411</v>
      </c>
      <c r="N6" s="10">
        <v>1.1438999999999999</v>
      </c>
      <c r="O6" s="10">
        <v>0.74460000000000004</v>
      </c>
      <c r="P6" s="6">
        <v>3.4500000000000003E-2</v>
      </c>
      <c r="Q6" s="6">
        <v>3.7400000000000003E-2</v>
      </c>
      <c r="R6" s="6">
        <v>5.0200000000000002E-2</v>
      </c>
      <c r="S6" s="6"/>
    </row>
    <row r="7" spans="1:19" x14ac:dyDescent="0.3">
      <c r="C7" s="17">
        <f t="shared" si="0"/>
        <v>0.23773333333333338</v>
      </c>
      <c r="D7" s="17">
        <f t="shared" si="0"/>
        <v>0.22013333333333338</v>
      </c>
      <c r="F7" s="6" t="s">
        <v>57</v>
      </c>
      <c r="G7" s="6">
        <v>4.8899999999999999E-2</v>
      </c>
      <c r="H7" s="6">
        <v>3.6900000000000002E-2</v>
      </c>
      <c r="I7" s="6">
        <v>4.4400000000000002E-2</v>
      </c>
      <c r="J7" s="9">
        <v>0.13489999999999999</v>
      </c>
      <c r="K7" s="9">
        <v>0.9536</v>
      </c>
      <c r="L7" s="9">
        <v>0.55279999999999996</v>
      </c>
      <c r="M7" s="10">
        <v>0.14369999999999999</v>
      </c>
      <c r="N7" s="10">
        <v>1.1552</v>
      </c>
      <c r="O7" s="10">
        <v>0.72130000000000005</v>
      </c>
      <c r="P7" s="6">
        <v>3.9899999999999998E-2</v>
      </c>
      <c r="Q7" s="6">
        <v>4.7300000000000002E-2</v>
      </c>
      <c r="R7" s="6">
        <v>4.7899999999999998E-2</v>
      </c>
      <c r="S7" s="6"/>
    </row>
    <row r="8" spans="1:19" x14ac:dyDescent="0.3">
      <c r="C8" s="17">
        <f t="shared" si="0"/>
        <v>0.21663333333333337</v>
      </c>
      <c r="D8" s="17">
        <f t="shared" si="0"/>
        <v>0.22043333333333334</v>
      </c>
      <c r="F8" s="6" t="s">
        <v>58</v>
      </c>
      <c r="G8" s="6">
        <v>4.65E-2</v>
      </c>
      <c r="H8" s="6">
        <v>4.5400000000000003E-2</v>
      </c>
      <c r="I8" s="6">
        <v>4.7300000000000002E-2</v>
      </c>
      <c r="J8" s="9">
        <v>0.1447</v>
      </c>
      <c r="K8" s="9">
        <v>0.97370000000000001</v>
      </c>
      <c r="L8" s="9">
        <v>0.58340000000000003</v>
      </c>
      <c r="M8" s="10">
        <v>0.1472</v>
      </c>
      <c r="N8" s="10">
        <v>1.2073</v>
      </c>
      <c r="O8" s="10">
        <v>0.73650000000000004</v>
      </c>
      <c r="P8" s="6">
        <v>4.3700000000000003E-2</v>
      </c>
      <c r="Q8" s="6">
        <v>4.9700000000000001E-2</v>
      </c>
      <c r="R8" s="6">
        <v>4.1200000000000001E-2</v>
      </c>
      <c r="S8" s="6"/>
    </row>
    <row r="9" spans="1:19" x14ac:dyDescent="0.3">
      <c r="F9" s="6" t="s">
        <v>59</v>
      </c>
      <c r="G9" s="6">
        <v>4.0099999999999997E-2</v>
      </c>
      <c r="H9" s="6">
        <v>3.4200000000000001E-2</v>
      </c>
      <c r="I9" s="6">
        <v>4.2999999999999997E-2</v>
      </c>
      <c r="J9" s="6">
        <v>4.3900000000000002E-2</v>
      </c>
      <c r="K9" s="6">
        <v>3.7199999999999997E-2</v>
      </c>
      <c r="L9" s="6">
        <v>4.5499999999999999E-2</v>
      </c>
      <c r="M9" s="6">
        <v>3.5200000000000002E-2</v>
      </c>
      <c r="N9" s="6">
        <v>3.5700000000000003E-2</v>
      </c>
      <c r="O9" s="6">
        <v>3.2899999999999999E-2</v>
      </c>
      <c r="P9" s="6">
        <v>3.2899999999999999E-2</v>
      </c>
      <c r="Q9" s="6">
        <v>4.7899999999999998E-2</v>
      </c>
      <c r="R9" s="6">
        <v>4.1200000000000001E-2</v>
      </c>
      <c r="S9" s="6"/>
    </row>
    <row r="10" spans="1:19" x14ac:dyDescent="0.3">
      <c r="A10" s="12" t="s">
        <v>62</v>
      </c>
      <c r="B10" s="12" t="s">
        <v>51</v>
      </c>
      <c r="C10" s="12" t="s">
        <v>50</v>
      </c>
      <c r="D10" s="2" t="s">
        <v>156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9" x14ac:dyDescent="0.3">
      <c r="A11" s="12" t="s">
        <v>65</v>
      </c>
      <c r="B11" s="12">
        <v>0.13489999999999999</v>
      </c>
      <c r="C11" s="12">
        <v>0.65229999999999999</v>
      </c>
      <c r="D11" s="12">
        <v>0.47489999999999999</v>
      </c>
      <c r="F11" s="6"/>
      <c r="G11" s="6"/>
      <c r="H11" s="6"/>
      <c r="I11" s="6"/>
      <c r="J11" s="6" t="s">
        <v>51</v>
      </c>
      <c r="K11" s="11" t="s">
        <v>50</v>
      </c>
      <c r="L11" s="2" t="s">
        <v>157</v>
      </c>
      <c r="M11" s="6" t="s">
        <v>51</v>
      </c>
      <c r="N11" s="11" t="s">
        <v>50</v>
      </c>
      <c r="O11" s="2" t="s">
        <v>157</v>
      </c>
      <c r="P11" s="6"/>
      <c r="Q11" s="11"/>
      <c r="R11" s="11"/>
      <c r="S11" s="6"/>
    </row>
    <row r="12" spans="1:19" x14ac:dyDescent="0.3">
      <c r="B12" s="12">
        <v>0.14069999999999999</v>
      </c>
      <c r="C12" s="12">
        <v>0.66679999999999995</v>
      </c>
      <c r="D12" s="12">
        <v>0.49469999999999997</v>
      </c>
      <c r="F12" s="6"/>
      <c r="G12" s="6"/>
      <c r="H12" s="6"/>
      <c r="I12" s="6"/>
      <c r="J12" s="22" t="s">
        <v>61</v>
      </c>
      <c r="K12" s="22"/>
      <c r="L12" s="22"/>
      <c r="M12" s="22" t="s">
        <v>62</v>
      </c>
      <c r="N12" s="22"/>
      <c r="O12" s="22"/>
      <c r="P12" s="6"/>
      <c r="Q12" s="6"/>
      <c r="R12" s="6"/>
      <c r="S12" s="6"/>
    </row>
    <row r="13" spans="1:19" x14ac:dyDescent="0.3">
      <c r="B13" s="12">
        <v>0.1457</v>
      </c>
      <c r="C13" s="12">
        <v>0.63790000000000002</v>
      </c>
      <c r="D13" s="12">
        <v>0.45939999999999998</v>
      </c>
      <c r="F13" s="6"/>
      <c r="G13" s="6"/>
      <c r="H13" s="6"/>
      <c r="I13" s="6"/>
      <c r="J13" s="22" t="s">
        <v>63</v>
      </c>
      <c r="K13" s="22"/>
      <c r="L13" s="22"/>
      <c r="M13" s="22" t="s">
        <v>64</v>
      </c>
      <c r="N13" s="22"/>
      <c r="O13" s="22"/>
      <c r="P13" s="6"/>
      <c r="Q13" s="6"/>
      <c r="R13" s="6"/>
      <c r="S13" s="6"/>
    </row>
    <row r="14" spans="1:19" x14ac:dyDescent="0.3">
      <c r="B14" s="12">
        <f>AVERAGE(B11:B13)</f>
        <v>0.14043333333333333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9" x14ac:dyDescent="0.3">
      <c r="A15" s="12" t="s">
        <v>68</v>
      </c>
      <c r="C15" s="17">
        <f>C11-$B$14</f>
        <v>0.51186666666666669</v>
      </c>
      <c r="D15" s="17">
        <f>D11-$B$14</f>
        <v>0.33446666666666669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x14ac:dyDescent="0.3">
      <c r="C16" s="17">
        <f t="shared" ref="C16:D17" si="1">C12-$B$14</f>
        <v>0.52636666666666665</v>
      </c>
      <c r="D16" s="17">
        <f t="shared" si="1"/>
        <v>0.35426666666666662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x14ac:dyDescent="0.3">
      <c r="C17" s="17">
        <f t="shared" si="1"/>
        <v>0.49746666666666672</v>
      </c>
      <c r="D17" s="17">
        <f>D13-$B$14</f>
        <v>0.31896666666666662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9" spans="1:19" x14ac:dyDescent="0.3">
      <c r="A19" s="12" t="s">
        <v>63</v>
      </c>
      <c r="B19" s="12" t="s">
        <v>51</v>
      </c>
      <c r="C19" s="12" t="s">
        <v>50</v>
      </c>
      <c r="D19" s="2" t="s">
        <v>156</v>
      </c>
      <c r="M19" s="13"/>
    </row>
    <row r="20" spans="1:19" x14ac:dyDescent="0.3">
      <c r="A20" s="12" t="s">
        <v>65</v>
      </c>
      <c r="B20" s="12">
        <v>0.13519999999999999</v>
      </c>
      <c r="C20" s="12">
        <v>0.96360000000000001</v>
      </c>
      <c r="D20" s="12">
        <v>0.57530000000000003</v>
      </c>
    </row>
    <row r="21" spans="1:19" x14ac:dyDescent="0.3">
      <c r="B21" s="12">
        <v>0.13489999999999999</v>
      </c>
      <c r="C21" s="12">
        <v>0.9536</v>
      </c>
      <c r="D21" s="12">
        <v>0.55279999999999996</v>
      </c>
    </row>
    <row r="22" spans="1:19" x14ac:dyDescent="0.3">
      <c r="B22" s="12">
        <v>0.1447</v>
      </c>
      <c r="C22" s="12">
        <v>0.97370000000000001</v>
      </c>
      <c r="D22" s="12">
        <v>0.58340000000000003</v>
      </c>
    </row>
    <row r="23" spans="1:19" x14ac:dyDescent="0.3">
      <c r="B23" s="12">
        <f>AVERAGE(B20:B22)</f>
        <v>0.13826666666666668</v>
      </c>
    </row>
    <row r="24" spans="1:19" x14ac:dyDescent="0.3">
      <c r="A24" s="12" t="s">
        <v>68</v>
      </c>
      <c r="C24" s="17">
        <f>C20-$B$23</f>
        <v>0.82533333333333336</v>
      </c>
      <c r="D24" s="17">
        <f>D20-$B$23</f>
        <v>0.43703333333333338</v>
      </c>
    </row>
    <row r="25" spans="1:19" x14ac:dyDescent="0.3">
      <c r="C25" s="17">
        <f t="shared" ref="C25:D26" si="2">C21-$B$23</f>
        <v>0.81533333333333335</v>
      </c>
      <c r="D25" s="17">
        <f t="shared" si="2"/>
        <v>0.41453333333333331</v>
      </c>
    </row>
    <row r="26" spans="1:19" x14ac:dyDescent="0.3">
      <c r="C26" s="17">
        <f t="shared" si="2"/>
        <v>0.83543333333333336</v>
      </c>
      <c r="D26" s="17">
        <f t="shared" si="2"/>
        <v>0.44513333333333338</v>
      </c>
    </row>
    <row r="29" spans="1:19" x14ac:dyDescent="0.3">
      <c r="A29" s="12" t="s">
        <v>64</v>
      </c>
      <c r="B29" s="12" t="s">
        <v>51</v>
      </c>
      <c r="C29" s="12" t="s">
        <v>50</v>
      </c>
      <c r="D29" s="2" t="s">
        <v>159</v>
      </c>
      <c r="M29" s="13"/>
    </row>
    <row r="30" spans="1:19" x14ac:dyDescent="0.3">
      <c r="A30" s="12" t="s">
        <v>65</v>
      </c>
      <c r="B30" s="12">
        <v>0.1411</v>
      </c>
      <c r="C30" s="12">
        <v>1.1438999999999999</v>
      </c>
      <c r="D30" s="12">
        <v>0.74460000000000004</v>
      </c>
    </row>
    <row r="31" spans="1:19" x14ac:dyDescent="0.3">
      <c r="B31" s="12">
        <v>0.14369999999999999</v>
      </c>
      <c r="C31" s="12">
        <v>1.1552</v>
      </c>
      <c r="D31" s="12">
        <v>0.72130000000000005</v>
      </c>
    </row>
    <row r="32" spans="1:19" x14ac:dyDescent="0.3">
      <c r="B32" s="12">
        <v>0.1472</v>
      </c>
      <c r="C32" s="12">
        <v>1.2073</v>
      </c>
      <c r="D32" s="12">
        <v>0.73650000000000004</v>
      </c>
    </row>
    <row r="33" spans="1:18" x14ac:dyDescent="0.3">
      <c r="B33" s="12">
        <f>AVERAGE(B30:B32)</f>
        <v>0.14399999999999999</v>
      </c>
    </row>
    <row r="34" spans="1:18" x14ac:dyDescent="0.3">
      <c r="A34" s="12" t="s">
        <v>68</v>
      </c>
      <c r="C34" s="17">
        <f>C30-$B$33</f>
        <v>0.9998999999999999</v>
      </c>
      <c r="D34" s="17">
        <f>D30-$B$33</f>
        <v>0.60060000000000002</v>
      </c>
    </row>
    <row r="35" spans="1:18" x14ac:dyDescent="0.3">
      <c r="C35" s="17">
        <f t="shared" ref="C35:D36" si="3">C31-$B$33</f>
        <v>1.0112000000000001</v>
      </c>
      <c r="D35" s="17">
        <f t="shared" si="3"/>
        <v>0.57730000000000004</v>
      </c>
    </row>
    <row r="36" spans="1:18" x14ac:dyDescent="0.3">
      <c r="C36" s="17">
        <f t="shared" si="3"/>
        <v>1.0633000000000001</v>
      </c>
      <c r="D36" s="17">
        <f t="shared" si="3"/>
        <v>0.59250000000000003</v>
      </c>
    </row>
    <row r="38" spans="1:18" x14ac:dyDescent="0.3">
      <c r="B38" s="12" t="s">
        <v>65</v>
      </c>
      <c r="C38" s="21" t="s">
        <v>99</v>
      </c>
      <c r="D38" s="21"/>
      <c r="E38" s="21"/>
      <c r="F38" s="21" t="s">
        <v>157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 spans="1:18" x14ac:dyDescent="0.3">
      <c r="B39" s="12" t="s">
        <v>61</v>
      </c>
      <c r="C39" s="18">
        <f>C6</f>
        <v>0.20813333333333336</v>
      </c>
      <c r="D39" s="18">
        <f>C7</f>
        <v>0.23773333333333338</v>
      </c>
      <c r="E39" s="18">
        <f>C8</f>
        <v>0.21663333333333337</v>
      </c>
      <c r="F39" s="18">
        <f>D6</f>
        <v>0.18483333333333338</v>
      </c>
      <c r="G39" s="18">
        <f>D7</f>
        <v>0.22013333333333338</v>
      </c>
      <c r="H39" s="18">
        <f>D8</f>
        <v>0.22043333333333334</v>
      </c>
      <c r="I39" s="14"/>
      <c r="J39" s="14"/>
      <c r="K39" s="14"/>
      <c r="L39" s="14"/>
      <c r="M39" s="14"/>
      <c r="N39" s="14"/>
      <c r="O39" s="14"/>
      <c r="P39" s="14"/>
      <c r="Q39" s="14"/>
      <c r="R39" s="15"/>
    </row>
    <row r="40" spans="1:18" x14ac:dyDescent="0.3">
      <c r="B40" s="12" t="s">
        <v>62</v>
      </c>
      <c r="C40" s="18">
        <f>C15</f>
        <v>0.51186666666666669</v>
      </c>
      <c r="D40" s="18">
        <f>C16</f>
        <v>0.52636666666666665</v>
      </c>
      <c r="E40" s="18">
        <f>C17</f>
        <v>0.49746666666666672</v>
      </c>
      <c r="F40" s="18">
        <f>D15</f>
        <v>0.33446666666666669</v>
      </c>
      <c r="G40" s="18">
        <f>D16</f>
        <v>0.35426666666666662</v>
      </c>
      <c r="H40" s="18">
        <f>D17</f>
        <v>0.31896666666666662</v>
      </c>
      <c r="I40" s="14"/>
      <c r="J40" s="14"/>
      <c r="K40" s="14"/>
      <c r="L40" s="14"/>
      <c r="M40" s="14"/>
      <c r="N40" s="14"/>
      <c r="O40" s="14"/>
      <c r="P40" s="14"/>
      <c r="Q40" s="14"/>
      <c r="R40" s="15"/>
    </row>
    <row r="41" spans="1:18" x14ac:dyDescent="0.3">
      <c r="B41" s="12" t="s">
        <v>66</v>
      </c>
      <c r="C41" s="18">
        <f>C24</f>
        <v>0.82533333333333336</v>
      </c>
      <c r="D41" s="18">
        <f>C25</f>
        <v>0.81533333333333335</v>
      </c>
      <c r="E41" s="18">
        <f>C26</f>
        <v>0.83543333333333336</v>
      </c>
      <c r="F41" s="18">
        <f>D24</f>
        <v>0.43703333333333338</v>
      </c>
      <c r="G41" s="18">
        <f>D25</f>
        <v>0.41453333333333331</v>
      </c>
      <c r="H41" s="18">
        <f>D26</f>
        <v>0.44513333333333338</v>
      </c>
      <c r="I41" s="14"/>
      <c r="J41" s="14"/>
      <c r="K41" s="14"/>
      <c r="L41" s="14"/>
      <c r="M41" s="14"/>
      <c r="N41" s="14"/>
      <c r="O41" s="14"/>
      <c r="P41" s="14"/>
      <c r="Q41" s="14"/>
      <c r="R41" s="15"/>
    </row>
    <row r="42" spans="1:18" x14ac:dyDescent="0.3">
      <c r="B42" s="12" t="s">
        <v>67</v>
      </c>
      <c r="C42" s="18">
        <f>C34</f>
        <v>0.9998999999999999</v>
      </c>
      <c r="D42" s="18">
        <f>C35</f>
        <v>1.0112000000000001</v>
      </c>
      <c r="E42" s="18">
        <f>C36</f>
        <v>1.0633000000000001</v>
      </c>
      <c r="F42" s="18">
        <f>D34</f>
        <v>0.60060000000000002</v>
      </c>
      <c r="G42" s="18">
        <f>D35</f>
        <v>0.57730000000000004</v>
      </c>
      <c r="H42" s="18">
        <f>D36</f>
        <v>0.59250000000000003</v>
      </c>
      <c r="I42" s="14"/>
      <c r="J42" s="14"/>
      <c r="K42" s="14"/>
      <c r="L42" s="14"/>
      <c r="M42" s="14"/>
      <c r="N42" s="14"/>
      <c r="O42" s="14"/>
      <c r="P42" s="14"/>
      <c r="Q42" s="14"/>
      <c r="R42" s="15"/>
    </row>
    <row r="43" spans="1:18" x14ac:dyDescent="0.3">
      <c r="R43" s="15"/>
    </row>
    <row r="44" spans="1:18" x14ac:dyDescent="0.3">
      <c r="R44" s="15"/>
    </row>
    <row r="45" spans="1:18" x14ac:dyDescent="0.3"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</sheetData>
  <mergeCells count="13">
    <mergeCell ref="J12:L12"/>
    <mergeCell ref="M12:O12"/>
    <mergeCell ref="J13:L13"/>
    <mergeCell ref="M13:O13"/>
    <mergeCell ref="O38:Q38"/>
    <mergeCell ref="C45:E45"/>
    <mergeCell ref="F45:H45"/>
    <mergeCell ref="I45:K45"/>
    <mergeCell ref="L45:N45"/>
    <mergeCell ref="C38:E38"/>
    <mergeCell ref="F38:H38"/>
    <mergeCell ref="I38:K38"/>
    <mergeCell ref="L38:N38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B157-B98D-4847-B267-54B063ED369E}">
  <dimension ref="A1:E4"/>
  <sheetViews>
    <sheetView workbookViewId="0">
      <selection activeCell="H31" sqref="H31"/>
    </sheetView>
  </sheetViews>
  <sheetFormatPr defaultRowHeight="14" x14ac:dyDescent="0.3"/>
  <cols>
    <col min="1" max="1" width="11.75" bestFit="1" customWidth="1"/>
    <col min="4" max="4" width="13.08203125" bestFit="1" customWidth="1"/>
  </cols>
  <sheetData>
    <row r="1" spans="1:5" ht="15.5" x14ac:dyDescent="0.3">
      <c r="A1" s="5" t="s">
        <v>114</v>
      </c>
      <c r="C1" s="3" t="s">
        <v>42</v>
      </c>
      <c r="D1" s="2" t="s">
        <v>157</v>
      </c>
      <c r="E1" s="3"/>
    </row>
    <row r="2" spans="1:5" x14ac:dyDescent="0.3">
      <c r="B2" s="3" t="s">
        <v>43</v>
      </c>
      <c r="C2" s="19">
        <v>236</v>
      </c>
      <c r="D2" s="19">
        <v>62</v>
      </c>
      <c r="E2" s="3"/>
    </row>
    <row r="3" spans="1:5" x14ac:dyDescent="0.3">
      <c r="B3" s="3"/>
      <c r="C3" s="19">
        <v>244</v>
      </c>
      <c r="D3" s="19">
        <v>83</v>
      </c>
      <c r="E3" s="3"/>
    </row>
    <row r="4" spans="1:5" x14ac:dyDescent="0.3">
      <c r="B4" s="3"/>
      <c r="C4" s="19">
        <v>226</v>
      </c>
      <c r="D4" s="19">
        <v>69</v>
      </c>
      <c r="E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9F85-158D-4B0A-BE50-CFE1741ADCDD}">
  <dimension ref="A1:E4"/>
  <sheetViews>
    <sheetView workbookViewId="0">
      <selection activeCell="I27" sqref="I27"/>
    </sheetView>
  </sheetViews>
  <sheetFormatPr defaultRowHeight="14" x14ac:dyDescent="0.3"/>
  <cols>
    <col min="4" max="4" width="13.08203125" bestFit="1" customWidth="1"/>
  </cols>
  <sheetData>
    <row r="1" spans="1:5" x14ac:dyDescent="0.3">
      <c r="A1" t="s">
        <v>101</v>
      </c>
      <c r="C1" s="3" t="s">
        <v>42</v>
      </c>
      <c r="D1" s="2" t="s">
        <v>157</v>
      </c>
      <c r="E1" s="3"/>
    </row>
    <row r="2" spans="1:5" x14ac:dyDescent="0.3">
      <c r="B2" s="3" t="s">
        <v>43</v>
      </c>
      <c r="C2" s="19">
        <v>392</v>
      </c>
      <c r="D2" s="19">
        <v>132</v>
      </c>
      <c r="E2" s="3"/>
    </row>
    <row r="3" spans="1:5" x14ac:dyDescent="0.3">
      <c r="B3" s="3"/>
      <c r="C3" s="19">
        <v>346</v>
      </c>
      <c r="D3" s="19">
        <v>159</v>
      </c>
      <c r="E3" s="3"/>
    </row>
    <row r="4" spans="1:5" x14ac:dyDescent="0.3">
      <c r="B4" s="3"/>
      <c r="C4" s="19">
        <v>362</v>
      </c>
      <c r="D4" s="19">
        <v>175</v>
      </c>
      <c r="E4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PCR analysis A</vt:lpstr>
      <vt:lpstr>PCR raw data</vt:lpstr>
      <vt:lpstr>PCR analysis B</vt:lpstr>
      <vt:lpstr>PCR raw data B</vt:lpstr>
      <vt:lpstr>PCR analysis C</vt:lpstr>
      <vt:lpstr>PCR raw data C</vt:lpstr>
      <vt:lpstr>CCK8 result HL60</vt:lpstr>
      <vt:lpstr>CCK8 result NB4</vt:lpstr>
      <vt:lpstr>HL60 invasion data</vt:lpstr>
      <vt:lpstr>NB4 invasion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Ada</cp:lastModifiedBy>
  <dcterms:created xsi:type="dcterms:W3CDTF">2015-06-05T18:19:34Z</dcterms:created>
  <dcterms:modified xsi:type="dcterms:W3CDTF">2026-02-03T10:00:45Z</dcterms:modified>
</cp:coreProperties>
</file>